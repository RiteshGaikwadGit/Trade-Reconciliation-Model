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ternal Trades" sheetId="2" state="visible" r:id="rId2"/>
    <sheet xmlns:r="http://schemas.openxmlformats.org/officeDocument/2006/relationships" name="Broker Trade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Break Summary" sheetId="5" state="visible" r:id="rId5"/>
    <sheet xmlns:r="http://schemas.openxmlformats.org/officeDocument/2006/relationships" name="Practice" sheetId="6" state="visible" r:id="rId6"/>
  </sheets>
  <definedNames>
    <definedName name="_xlnm._FilterDatabase" localSheetId="1" hidden="1">'Internal Trades'!$A$2:$G$20</definedName>
    <definedName name="_xlnm._FilterDatabase" localSheetId="2" hidden="1">'Broker Trades'!$A$2:$G$20</definedName>
    <definedName name="_xlnm._FilterDatabase" localSheetId="3" hidden="1">'Reconciliation'!$A$2:$L$21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7365D"/>
    </font>
    <font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25" customWidth="1" min="3" max="3"/>
    <col width="25" customWidth="1" min="4" max="4"/>
  </cols>
  <sheetData>
    <row r="1" ht="30" customHeight="1">
      <c r="A1" s="1" t="inlineStr">
        <is>
          <t>TRADE RECONCILIATION MODEL — START HERE</t>
        </is>
      </c>
    </row>
    <row r="2"/>
    <row r="3" ht="42" customHeight="1">
      <c r="A3" s="2" t="inlineStr">
        <is>
          <t>Purpose</t>
        </is>
      </c>
      <c r="B3" s="3" t="inlineStr">
        <is>
          <t>Compare internal trade records against broker records and identify discrepancies (called breaks).</t>
        </is>
      </c>
    </row>
    <row r="4" ht="42" customHeight="1">
      <c r="A4" s="2" t="inlineStr">
        <is>
          <t>Workflow</t>
        </is>
      </c>
      <c r="B4" s="3" t="inlineStr">
        <is>
          <t>Review the two source tabs; match using Trade ID; compare quantity and price; classify breaks; summarise findings and next actions.</t>
        </is>
      </c>
    </row>
    <row r="5" ht="42" customHeight="1">
      <c r="A5" s="2" t="inlineStr">
        <is>
          <t>Skills</t>
        </is>
      </c>
      <c r="B5" s="3" t="inlineStr">
        <is>
          <t>XLOOKUP, IF, IFERROR, COUNTIF, AND, OR, conditional formatting, PivotTables.</t>
        </is>
      </c>
    </row>
    <row r="6" ht="42" customHeight="1">
      <c r="A6" s="2" t="inlineStr">
        <is>
          <t>Business context</t>
        </is>
      </c>
      <c r="B6" s="3" t="inlineStr">
        <is>
          <t>Trade reconciliation checks whether two systems recorded the same transaction correctly.</t>
        </is>
      </c>
    </row>
    <row r="7" ht="42" customHeight="1">
      <c r="A7" s="2" t="inlineStr">
        <is>
          <t>Break types</t>
        </is>
      </c>
      <c r="B7" s="3" t="inlineStr">
        <is>
          <t>Missing at broker; missing internally; quantity mismatch; price mismatch; duplicate records.</t>
        </is>
      </c>
    </row>
    <row r="8" ht="42" customHeight="1">
      <c r="A8" s="2" t="inlineStr">
        <is>
          <t>Important</t>
        </is>
      </c>
      <c r="B8" s="3" t="inlineStr">
        <is>
          <t>This is synthetic practice data, not real trading data. Formulas are designed for modern Excel.</t>
        </is>
      </c>
    </row>
    <row r="9" ht="42" customHeight="1">
      <c r="A9" s="2" t="inlineStr">
        <is>
          <t>PivotTable practice</t>
        </is>
      </c>
      <c r="B9" s="3" t="inlineStr">
        <is>
          <t>Select the Reconciliation data including headers → Insert → PivotTable. Put Break Type in Rows and Trade ID in Values; set Values to Count.</t>
        </is>
      </c>
    </row>
    <row r="10" ht="42" customHeight="1">
      <c r="A10" s="2" t="inlineStr">
        <is>
          <t>Interview explanation</t>
        </is>
      </c>
      <c r="B10" s="3" t="inlineStr">
        <is>
          <t>I built an Excel model to compare internal and broker trade records, identify missing trades, quantity/price mismatches and duplicates, and summarise breaks with recommended actions.</t>
        </is>
      </c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2" customWidth="1" min="4" max="4"/>
    <col width="12" customWidth="1" min="5" max="5"/>
    <col width="13" customWidth="1" min="6" max="6"/>
    <col width="13" customWidth="1" min="7" max="7"/>
  </cols>
  <sheetData>
    <row r="1" ht="30" customHeight="1">
      <c r="A1" s="1" t="inlineStr">
        <is>
          <t>INTERNAL TRADES</t>
        </is>
      </c>
    </row>
    <row r="2" ht="28" customHeight="1">
      <c r="A2" s="4" t="inlineStr">
        <is>
          <t>Trade ID</t>
        </is>
      </c>
      <c r="B2" s="4" t="inlineStr">
        <is>
          <t>Trade Date</t>
        </is>
      </c>
      <c r="C2" s="4" t="inlineStr">
        <is>
          <t>Counterparty</t>
        </is>
      </c>
      <c r="D2" s="4" t="inlineStr">
        <is>
          <t>Ticker</t>
        </is>
      </c>
      <c r="E2" s="4" t="inlineStr">
        <is>
          <t>Side</t>
        </is>
      </c>
      <c r="F2" s="4" t="inlineStr">
        <is>
          <t>Quantity</t>
        </is>
      </c>
      <c r="G2" s="4" t="inlineStr">
        <is>
          <t>Price</t>
        </is>
      </c>
    </row>
    <row r="3">
      <c r="A3" t="inlineStr">
        <is>
          <t>T1001</t>
        </is>
      </c>
      <c r="B3" t="inlineStr">
        <is>
          <t>2026-10-20</t>
        </is>
      </c>
      <c r="C3" t="inlineStr">
        <is>
          <t>ABC Bank</t>
        </is>
      </c>
      <c r="D3" t="inlineStr">
        <is>
          <t>AAPL</t>
        </is>
      </c>
      <c r="E3" t="inlineStr">
        <is>
          <t>BUY</t>
        </is>
      </c>
      <c r="F3" t="n">
        <v>100</v>
      </c>
      <c r="G3" s="5" t="n">
        <v>225.5</v>
      </c>
    </row>
    <row r="4">
      <c r="A4" t="inlineStr">
        <is>
          <t>T1002</t>
        </is>
      </c>
      <c r="B4" t="inlineStr">
        <is>
          <t>2026-10-20</t>
        </is>
      </c>
      <c r="C4" t="inlineStr">
        <is>
          <t>ABC Bank</t>
        </is>
      </c>
      <c r="D4" t="inlineStr">
        <is>
          <t>MSFT</t>
        </is>
      </c>
      <c r="E4" t="inlineStr">
        <is>
          <t>SELL</t>
        </is>
      </c>
      <c r="F4" t="n">
        <v>50</v>
      </c>
      <c r="G4" s="5" t="n">
        <v>510</v>
      </c>
    </row>
    <row r="5">
      <c r="A5" t="inlineStr">
        <is>
          <t>T1003</t>
        </is>
      </c>
      <c r="B5" t="inlineStr">
        <is>
          <t>2026-10-20</t>
        </is>
      </c>
      <c r="C5" t="inlineStr">
        <is>
          <t>ABC Bank</t>
        </is>
      </c>
      <c r="D5" t="inlineStr">
        <is>
          <t>NVDA</t>
        </is>
      </c>
      <c r="E5" t="inlineStr">
        <is>
          <t>BUY</t>
        </is>
      </c>
      <c r="F5" t="n">
        <v>40</v>
      </c>
      <c r="G5" s="5" t="n">
        <v>182.25</v>
      </c>
    </row>
    <row r="6">
      <c r="A6" t="inlineStr">
        <is>
          <t>T1004</t>
        </is>
      </c>
      <c r="B6" t="inlineStr">
        <is>
          <t>2026-10-21</t>
        </is>
      </c>
      <c r="C6" t="inlineStr">
        <is>
          <t>ABC Bank</t>
        </is>
      </c>
      <c r="D6" t="inlineStr">
        <is>
          <t>AMZN</t>
        </is>
      </c>
      <c r="E6" t="inlineStr">
        <is>
          <t>BUY</t>
        </is>
      </c>
      <c r="F6" t="n">
        <v>25</v>
      </c>
      <c r="G6" s="5" t="n">
        <v>221.1</v>
      </c>
    </row>
    <row r="7">
      <c r="A7" t="inlineStr">
        <is>
          <t>T1005</t>
        </is>
      </c>
      <c r="B7" t="inlineStr">
        <is>
          <t>2026-10-21</t>
        </is>
      </c>
      <c r="C7" t="inlineStr">
        <is>
          <t>ABC Bank</t>
        </is>
      </c>
      <c r="D7" t="inlineStr">
        <is>
          <t>TSLA</t>
        </is>
      </c>
      <c r="E7" t="inlineStr">
        <is>
          <t>SELL</t>
        </is>
      </c>
      <c r="F7" t="n">
        <v>30</v>
      </c>
      <c r="G7" s="5" t="n">
        <v>445</v>
      </c>
    </row>
    <row r="8">
      <c r="A8" t="inlineStr">
        <is>
          <t>T1006</t>
        </is>
      </c>
      <c r="B8" t="inlineStr">
        <is>
          <t>2026-10-21</t>
        </is>
      </c>
      <c r="C8" t="inlineStr">
        <is>
          <t>ABC Bank</t>
        </is>
      </c>
      <c r="D8" t="inlineStr">
        <is>
          <t>GOOGL</t>
        </is>
      </c>
      <c r="E8" t="inlineStr">
        <is>
          <t>BUY</t>
        </is>
      </c>
      <c r="F8" t="n">
        <v>60</v>
      </c>
      <c r="G8" s="5" t="n">
        <v>252.4</v>
      </c>
    </row>
    <row r="9">
      <c r="A9" t="inlineStr">
        <is>
          <t>T1007</t>
        </is>
      </c>
      <c r="B9" t="inlineStr">
        <is>
          <t>2026-10-22</t>
        </is>
      </c>
      <c r="C9" t="inlineStr">
        <is>
          <t>ABC Bank</t>
        </is>
      </c>
      <c r="D9" t="inlineStr">
        <is>
          <t>META</t>
        </is>
      </c>
      <c r="E9" t="inlineStr">
        <is>
          <t>BUY</t>
        </is>
      </c>
      <c r="F9" t="n">
        <v>20</v>
      </c>
      <c r="G9" s="5" t="n">
        <v>715.2</v>
      </c>
    </row>
    <row r="10">
      <c r="A10" t="inlineStr">
        <is>
          <t>T1008</t>
        </is>
      </c>
      <c r="B10" t="inlineStr">
        <is>
          <t>2026-10-22</t>
        </is>
      </c>
      <c r="C10" t="inlineStr">
        <is>
          <t>ABC Bank</t>
        </is>
      </c>
      <c r="D10" t="inlineStr">
        <is>
          <t>ORCL</t>
        </is>
      </c>
      <c r="E10" t="inlineStr">
        <is>
          <t>SELL</t>
        </is>
      </c>
      <c r="F10" t="n">
        <v>75</v>
      </c>
      <c r="G10" s="5" t="n">
        <v>287.5</v>
      </c>
    </row>
    <row r="11">
      <c r="A11" t="inlineStr">
        <is>
          <t>T1009</t>
        </is>
      </c>
      <c r="B11" t="inlineStr">
        <is>
          <t>2026-10-22</t>
        </is>
      </c>
      <c r="C11" t="inlineStr">
        <is>
          <t>ABC Bank</t>
        </is>
      </c>
      <c r="D11" t="inlineStr">
        <is>
          <t>AMD</t>
        </is>
      </c>
      <c r="E11" t="inlineStr">
        <is>
          <t>BUY</t>
        </is>
      </c>
      <c r="F11" t="n">
        <v>80</v>
      </c>
      <c r="G11" s="5" t="n">
        <v>246.3</v>
      </c>
    </row>
    <row r="12">
      <c r="A12" t="inlineStr">
        <is>
          <t>T1010</t>
        </is>
      </c>
      <c r="B12" t="inlineStr">
        <is>
          <t>2026-10-23</t>
        </is>
      </c>
      <c r="C12" t="inlineStr">
        <is>
          <t>ABC Bank</t>
        </is>
      </c>
      <c r="D12" t="inlineStr">
        <is>
          <t>JPM</t>
        </is>
      </c>
      <c r="E12" t="inlineStr">
        <is>
          <t>BUY</t>
        </is>
      </c>
      <c r="F12" t="n">
        <v>45</v>
      </c>
      <c r="G12" s="5" t="n">
        <v>305</v>
      </c>
    </row>
    <row r="13">
      <c r="A13" t="inlineStr">
        <is>
          <t>T1011</t>
        </is>
      </c>
      <c r="B13" t="inlineStr">
        <is>
          <t>2026-10-23</t>
        </is>
      </c>
      <c r="C13" t="inlineStr">
        <is>
          <t>ABC Bank</t>
        </is>
      </c>
      <c r="D13" t="inlineStr">
        <is>
          <t>NFLX</t>
        </is>
      </c>
      <c r="E13" t="inlineStr">
        <is>
          <t>SELL</t>
        </is>
      </c>
      <c r="F13" t="n">
        <v>10</v>
      </c>
      <c r="G13" s="5" t="n">
        <v>1190</v>
      </c>
    </row>
    <row r="14">
      <c r="A14" t="inlineStr">
        <is>
          <t>T1012</t>
        </is>
      </c>
      <c r="B14" t="inlineStr">
        <is>
          <t>2026-10-23</t>
        </is>
      </c>
      <c r="C14" t="inlineStr">
        <is>
          <t>ABC Bank</t>
        </is>
      </c>
      <c r="D14" t="inlineStr">
        <is>
          <t>COST</t>
        </is>
      </c>
      <c r="E14" t="inlineStr">
        <is>
          <t>BUY</t>
        </is>
      </c>
      <c r="F14" t="n">
        <v>15</v>
      </c>
      <c r="G14" s="5" t="n">
        <v>940</v>
      </c>
    </row>
    <row r="15">
      <c r="A15" t="inlineStr">
        <is>
          <t>T1013</t>
        </is>
      </c>
      <c r="B15" t="inlineStr">
        <is>
          <t>2026-10-24</t>
        </is>
      </c>
      <c r="C15" t="inlineStr">
        <is>
          <t>ABC Bank</t>
        </is>
      </c>
      <c r="D15" t="inlineStr">
        <is>
          <t>INTC</t>
        </is>
      </c>
      <c r="E15" t="inlineStr">
        <is>
          <t>BUY</t>
        </is>
      </c>
      <c r="F15" t="n">
        <v>200</v>
      </c>
      <c r="G15" s="5" t="n">
        <v>38.5</v>
      </c>
    </row>
    <row r="16">
      <c r="A16" t="inlineStr">
        <is>
          <t>T1014</t>
        </is>
      </c>
      <c r="B16" t="inlineStr">
        <is>
          <t>2026-10-24</t>
        </is>
      </c>
      <c r="C16" t="inlineStr">
        <is>
          <t>ABC Bank</t>
        </is>
      </c>
      <c r="D16" t="inlineStr">
        <is>
          <t>IBM</t>
        </is>
      </c>
      <c r="E16" t="inlineStr">
        <is>
          <t>SELL</t>
        </is>
      </c>
      <c r="F16" t="n">
        <v>18</v>
      </c>
      <c r="G16" s="5" t="n">
        <v>292</v>
      </c>
    </row>
    <row r="17">
      <c r="A17" t="inlineStr">
        <is>
          <t>T1015</t>
        </is>
      </c>
      <c r="B17" t="inlineStr">
        <is>
          <t>2026-10-24</t>
        </is>
      </c>
      <c r="C17" t="inlineStr">
        <is>
          <t>ABC Bank</t>
        </is>
      </c>
      <c r="D17" t="inlineStr">
        <is>
          <t>ADBE</t>
        </is>
      </c>
      <c r="E17" t="inlineStr">
        <is>
          <t>BUY</t>
        </is>
      </c>
      <c r="F17" t="n">
        <v>12</v>
      </c>
      <c r="G17" s="5" t="n">
        <v>410</v>
      </c>
    </row>
    <row r="18">
      <c r="A18" t="inlineStr">
        <is>
          <t>T1016</t>
        </is>
      </c>
      <c r="B18" t="inlineStr">
        <is>
          <t>2026-10-24</t>
        </is>
      </c>
      <c r="C18" t="inlineStr">
        <is>
          <t>ABC Bank</t>
        </is>
      </c>
      <c r="D18" t="inlineStr">
        <is>
          <t>CRM</t>
        </is>
      </c>
      <c r="E18" t="inlineStr">
        <is>
          <t>BUY</t>
        </is>
      </c>
      <c r="F18" t="n">
        <v>22</v>
      </c>
      <c r="G18" s="5" t="n">
        <v>258</v>
      </c>
    </row>
    <row r="19">
      <c r="A19" t="inlineStr">
        <is>
          <t>T1017</t>
        </is>
      </c>
      <c r="B19" t="inlineStr">
        <is>
          <t>2026-10-24</t>
        </is>
      </c>
      <c r="C19" t="inlineStr">
        <is>
          <t>ABC Bank</t>
        </is>
      </c>
      <c r="D19" t="inlineStr">
        <is>
          <t>UBER</t>
        </is>
      </c>
      <c r="E19" t="inlineStr">
        <is>
          <t>SELL</t>
        </is>
      </c>
      <c r="F19" t="n">
        <v>90</v>
      </c>
      <c r="G19" s="5" t="n">
        <v>96.5</v>
      </c>
    </row>
    <row r="20">
      <c r="A20" t="inlineStr">
        <is>
          <t>T1018</t>
        </is>
      </c>
      <c r="B20" t="inlineStr">
        <is>
          <t>2026-10-24</t>
        </is>
      </c>
      <c r="C20" t="inlineStr">
        <is>
          <t>ABC Bank</t>
        </is>
      </c>
      <c r="D20" t="inlineStr">
        <is>
          <t>DIS</t>
        </is>
      </c>
      <c r="E20" t="inlineStr">
        <is>
          <t>BUY</t>
        </is>
      </c>
      <c r="F20" t="n">
        <v>55</v>
      </c>
      <c r="G20" s="5" t="n">
        <v>112.2</v>
      </c>
    </row>
  </sheetData>
  <autoFilter ref="A2:G20"/>
  <mergeCells count="1">
    <mergeCell ref="A1:G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2" customWidth="1" min="4" max="4"/>
    <col width="12" customWidth="1" min="5" max="5"/>
    <col width="13" customWidth="1" min="6" max="6"/>
    <col width="13" customWidth="1" min="7" max="7"/>
  </cols>
  <sheetData>
    <row r="1" ht="30" customHeight="1">
      <c r="A1" s="1" t="inlineStr">
        <is>
          <t>BROKER TRADES</t>
        </is>
      </c>
    </row>
    <row r="2" ht="28" customHeight="1">
      <c r="A2" s="4" t="inlineStr">
        <is>
          <t>Trade ID</t>
        </is>
      </c>
      <c r="B2" s="4" t="inlineStr">
        <is>
          <t>Trade Date</t>
        </is>
      </c>
      <c r="C2" s="4" t="inlineStr">
        <is>
          <t>Counterparty</t>
        </is>
      </c>
      <c r="D2" s="4" t="inlineStr">
        <is>
          <t>Ticker</t>
        </is>
      </c>
      <c r="E2" s="4" t="inlineStr">
        <is>
          <t>Side</t>
        </is>
      </c>
      <c r="F2" s="4" t="inlineStr">
        <is>
          <t>Quantity</t>
        </is>
      </c>
      <c r="G2" s="4" t="inlineStr">
        <is>
          <t>Price</t>
        </is>
      </c>
    </row>
    <row r="3">
      <c r="A3" t="inlineStr">
        <is>
          <t>T1001</t>
        </is>
      </c>
      <c r="B3" t="inlineStr">
        <is>
          <t>2026-10-20</t>
        </is>
      </c>
      <c r="C3" t="inlineStr">
        <is>
          <t>ABC Bank</t>
        </is>
      </c>
      <c r="D3" t="inlineStr">
        <is>
          <t>AAPL</t>
        </is>
      </c>
      <c r="E3" t="inlineStr">
        <is>
          <t>BUY</t>
        </is>
      </c>
      <c r="F3" t="n">
        <v>100</v>
      </c>
      <c r="G3" s="5" t="n">
        <v>225.5</v>
      </c>
    </row>
    <row r="4">
      <c r="A4" t="inlineStr">
        <is>
          <t>T1002</t>
        </is>
      </c>
      <c r="B4" t="inlineStr">
        <is>
          <t>2026-10-20</t>
        </is>
      </c>
      <c r="C4" t="inlineStr">
        <is>
          <t>ABC Bank</t>
        </is>
      </c>
      <c r="D4" t="inlineStr">
        <is>
          <t>MSFT</t>
        </is>
      </c>
      <c r="E4" t="inlineStr">
        <is>
          <t>SELL</t>
        </is>
      </c>
      <c r="F4" t="n">
        <v>50</v>
      </c>
      <c r="G4" s="5" t="n">
        <v>510</v>
      </c>
    </row>
    <row r="5">
      <c r="A5" t="inlineStr">
        <is>
          <t>T1003</t>
        </is>
      </c>
      <c r="B5" t="inlineStr">
        <is>
          <t>2026-10-20</t>
        </is>
      </c>
      <c r="C5" t="inlineStr">
        <is>
          <t>ABC Bank</t>
        </is>
      </c>
      <c r="D5" t="inlineStr">
        <is>
          <t>NVDA</t>
        </is>
      </c>
      <c r="E5" t="inlineStr">
        <is>
          <t>BUY</t>
        </is>
      </c>
      <c r="F5" t="n">
        <v>40</v>
      </c>
      <c r="G5" s="5" t="n">
        <v>181.75</v>
      </c>
    </row>
    <row r="6">
      <c r="A6" t="inlineStr">
        <is>
          <t>T1004</t>
        </is>
      </c>
      <c r="B6" t="inlineStr">
        <is>
          <t>2026-10-21</t>
        </is>
      </c>
      <c r="C6" t="inlineStr">
        <is>
          <t>ABC Bank</t>
        </is>
      </c>
      <c r="D6" t="inlineStr">
        <is>
          <t>AMZN</t>
        </is>
      </c>
      <c r="E6" t="inlineStr">
        <is>
          <t>BUY</t>
        </is>
      </c>
      <c r="F6" t="n">
        <v>20</v>
      </c>
      <c r="G6" s="5" t="n">
        <v>221.1</v>
      </c>
    </row>
    <row r="7">
      <c r="A7" t="inlineStr">
        <is>
          <t>T1005</t>
        </is>
      </c>
      <c r="B7" t="inlineStr">
        <is>
          <t>2026-10-21</t>
        </is>
      </c>
      <c r="C7" t="inlineStr">
        <is>
          <t>ABC Bank</t>
        </is>
      </c>
      <c r="D7" t="inlineStr">
        <is>
          <t>TSLA</t>
        </is>
      </c>
      <c r="E7" t="inlineStr">
        <is>
          <t>SELL</t>
        </is>
      </c>
      <c r="F7" t="n">
        <v>30</v>
      </c>
      <c r="G7" s="5" t="n">
        <v>445</v>
      </c>
    </row>
    <row r="8">
      <c r="A8" t="inlineStr">
        <is>
          <t>T1006</t>
        </is>
      </c>
      <c r="B8" t="inlineStr">
        <is>
          <t>2026-10-21</t>
        </is>
      </c>
      <c r="C8" t="inlineStr">
        <is>
          <t>ABC Bank</t>
        </is>
      </c>
      <c r="D8" t="inlineStr">
        <is>
          <t>GOOGL</t>
        </is>
      </c>
      <c r="E8" t="inlineStr">
        <is>
          <t>BUY</t>
        </is>
      </c>
      <c r="F8" t="n">
        <v>60</v>
      </c>
      <c r="G8" s="5" t="n">
        <v>252.4</v>
      </c>
    </row>
    <row r="9">
      <c r="A9" t="inlineStr">
        <is>
          <t>T1007</t>
        </is>
      </c>
      <c r="B9" t="inlineStr">
        <is>
          <t>2026-10-22</t>
        </is>
      </c>
      <c r="C9" t="inlineStr">
        <is>
          <t>ABC Bank</t>
        </is>
      </c>
      <c r="D9" t="inlineStr">
        <is>
          <t>META</t>
        </is>
      </c>
      <c r="E9" t="inlineStr">
        <is>
          <t>BUY</t>
        </is>
      </c>
      <c r="F9" t="n">
        <v>20</v>
      </c>
      <c r="G9" s="5" t="n">
        <v>715.2</v>
      </c>
    </row>
    <row r="10">
      <c r="A10" t="inlineStr">
        <is>
          <t>T1008</t>
        </is>
      </c>
      <c r="B10" t="inlineStr">
        <is>
          <t>2026-10-22</t>
        </is>
      </c>
      <c r="C10" t="inlineStr">
        <is>
          <t>ABC Bank</t>
        </is>
      </c>
      <c r="D10" t="inlineStr">
        <is>
          <t>ORCL</t>
        </is>
      </c>
      <c r="E10" t="inlineStr">
        <is>
          <t>SELL</t>
        </is>
      </c>
      <c r="F10" t="n">
        <v>75</v>
      </c>
      <c r="G10" s="5" t="n">
        <v>287.5</v>
      </c>
    </row>
    <row r="11">
      <c r="A11" t="inlineStr">
        <is>
          <t>T1009</t>
        </is>
      </c>
      <c r="B11" t="inlineStr">
        <is>
          <t>2026-10-22</t>
        </is>
      </c>
      <c r="C11" t="inlineStr">
        <is>
          <t>ABC Bank</t>
        </is>
      </c>
      <c r="D11" t="inlineStr">
        <is>
          <t>AMD</t>
        </is>
      </c>
      <c r="E11" t="inlineStr">
        <is>
          <t>BUY</t>
        </is>
      </c>
      <c r="F11" t="n">
        <v>80</v>
      </c>
      <c r="G11" s="5" t="n">
        <v>246.3</v>
      </c>
    </row>
    <row r="12">
      <c r="A12" t="inlineStr">
        <is>
          <t>T1010</t>
        </is>
      </c>
      <c r="B12" t="inlineStr">
        <is>
          <t>2026-10-23</t>
        </is>
      </c>
      <c r="C12" t="inlineStr">
        <is>
          <t>ABC Bank</t>
        </is>
      </c>
      <c r="D12" t="inlineStr">
        <is>
          <t>JPM</t>
        </is>
      </c>
      <c r="E12" t="inlineStr">
        <is>
          <t>BUY</t>
        </is>
      </c>
      <c r="F12" t="n">
        <v>45</v>
      </c>
      <c r="G12" s="5" t="n">
        <v>305</v>
      </c>
    </row>
    <row r="13">
      <c r="A13" t="inlineStr">
        <is>
          <t>T1011</t>
        </is>
      </c>
      <c r="B13" t="inlineStr">
        <is>
          <t>2026-10-23</t>
        </is>
      </c>
      <c r="C13" t="inlineStr">
        <is>
          <t>ABC Bank</t>
        </is>
      </c>
      <c r="D13" t="inlineStr">
        <is>
          <t>NFLX</t>
        </is>
      </c>
      <c r="E13" t="inlineStr">
        <is>
          <t>SELL</t>
        </is>
      </c>
      <c r="F13" t="n">
        <v>10</v>
      </c>
      <c r="G13" s="5" t="n">
        <v>1190</v>
      </c>
    </row>
    <row r="14">
      <c r="A14" t="inlineStr">
        <is>
          <t>T1012</t>
        </is>
      </c>
      <c r="B14" t="inlineStr">
        <is>
          <t>2026-10-23</t>
        </is>
      </c>
      <c r="C14" t="inlineStr">
        <is>
          <t>ABC Bank</t>
        </is>
      </c>
      <c r="D14" t="inlineStr">
        <is>
          <t>COST</t>
        </is>
      </c>
      <c r="E14" t="inlineStr">
        <is>
          <t>BUY</t>
        </is>
      </c>
      <c r="F14" t="n">
        <v>15</v>
      </c>
      <c r="G14" s="5" t="n">
        <v>940</v>
      </c>
    </row>
    <row r="15">
      <c r="A15" t="inlineStr">
        <is>
          <t>T1014</t>
        </is>
      </c>
      <c r="B15" t="inlineStr">
        <is>
          <t>2026-10-24</t>
        </is>
      </c>
      <c r="C15" t="inlineStr">
        <is>
          <t>ABC Bank</t>
        </is>
      </c>
      <c r="D15" t="inlineStr">
        <is>
          <t>IBM</t>
        </is>
      </c>
      <c r="E15" t="inlineStr">
        <is>
          <t>SELL</t>
        </is>
      </c>
      <c r="F15" t="n">
        <v>18</v>
      </c>
      <c r="G15" s="5" t="n">
        <v>292</v>
      </c>
    </row>
    <row r="16">
      <c r="A16" t="inlineStr">
        <is>
          <t>T1014</t>
        </is>
      </c>
      <c r="B16" t="inlineStr">
        <is>
          <t>2026-10-24</t>
        </is>
      </c>
      <c r="C16" t="inlineStr">
        <is>
          <t>ABC Bank</t>
        </is>
      </c>
      <c r="D16" t="inlineStr">
        <is>
          <t>IBM</t>
        </is>
      </c>
      <c r="E16" t="inlineStr">
        <is>
          <t>SELL</t>
        </is>
      </c>
      <c r="F16" t="n">
        <v>18</v>
      </c>
      <c r="G16" s="5" t="n">
        <v>292</v>
      </c>
    </row>
    <row r="17">
      <c r="A17" t="inlineStr">
        <is>
          <t>T1015</t>
        </is>
      </c>
      <c r="B17" t="inlineStr">
        <is>
          <t>2026-10-24</t>
        </is>
      </c>
      <c r="C17" t="inlineStr">
        <is>
          <t>ABC Bank</t>
        </is>
      </c>
      <c r="D17" t="inlineStr">
        <is>
          <t>ADBE</t>
        </is>
      </c>
      <c r="E17" t="inlineStr">
        <is>
          <t>BUY</t>
        </is>
      </c>
      <c r="F17" t="n">
        <v>12</v>
      </c>
      <c r="G17" s="5" t="n">
        <v>410</v>
      </c>
    </row>
    <row r="18">
      <c r="A18" t="inlineStr">
        <is>
          <t>T1016</t>
        </is>
      </c>
      <c r="B18" t="inlineStr">
        <is>
          <t>2026-10-24</t>
        </is>
      </c>
      <c r="C18" t="inlineStr">
        <is>
          <t>ABC Bank</t>
        </is>
      </c>
      <c r="D18" t="inlineStr">
        <is>
          <t>CRM</t>
        </is>
      </c>
      <c r="E18" t="inlineStr">
        <is>
          <t>BUY</t>
        </is>
      </c>
      <c r="F18" t="n">
        <v>22</v>
      </c>
      <c r="G18" s="5" t="n">
        <v>258</v>
      </c>
    </row>
    <row r="19">
      <c r="A19" t="inlineStr">
        <is>
          <t>T1017</t>
        </is>
      </c>
      <c r="B19" t="inlineStr">
        <is>
          <t>2026-10-24</t>
        </is>
      </c>
      <c r="C19" t="inlineStr">
        <is>
          <t>ABC Bank</t>
        </is>
      </c>
      <c r="D19" t="inlineStr">
        <is>
          <t>UBER</t>
        </is>
      </c>
      <c r="E19" t="inlineStr">
        <is>
          <t>SELL</t>
        </is>
      </c>
      <c r="F19" t="n">
        <v>90</v>
      </c>
      <c r="G19" s="5" t="n">
        <v>96.5</v>
      </c>
    </row>
    <row r="20">
      <c r="A20" t="inlineStr">
        <is>
          <t>T1019</t>
        </is>
      </c>
      <c r="B20" t="inlineStr">
        <is>
          <t>2026-10-24</t>
        </is>
      </c>
      <c r="C20" t="inlineStr">
        <is>
          <t>ABC Bank</t>
        </is>
      </c>
      <c r="D20" t="inlineStr">
        <is>
          <t>PYPL</t>
        </is>
      </c>
      <c r="E20" t="inlineStr">
        <is>
          <t>BUY</t>
        </is>
      </c>
      <c r="F20" t="n">
        <v>35</v>
      </c>
      <c r="G20" s="5" t="n">
        <v>72</v>
      </c>
    </row>
  </sheetData>
  <autoFilter ref="A2:G20"/>
  <mergeCells count="1">
    <mergeCell ref="A1:G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22" customWidth="1" min="9" max="9"/>
    <col width="14" customWidth="1" min="10" max="10"/>
    <col width="15" customWidth="1" min="11" max="11"/>
    <col width="42" customWidth="1" min="12" max="12"/>
  </cols>
  <sheetData>
    <row r="1" ht="30" customHeight="1">
      <c r="A1" s="1" t="inlineStr">
        <is>
          <t>TRADE RECONCILIATION — FORMULA WORKSHEET</t>
        </is>
      </c>
    </row>
    <row r="2" ht="28" customHeight="1">
      <c r="A2" s="4" t="inlineStr">
        <is>
          <t>Trade ID</t>
        </is>
      </c>
      <c r="B2" s="4" t="inlineStr">
        <is>
          <t>Internal Date</t>
        </is>
      </c>
      <c r="C2" s="4" t="inlineStr">
        <is>
          <t>Ticker</t>
        </is>
      </c>
      <c r="D2" s="4" t="inlineStr">
        <is>
          <t>Internal Qty</t>
        </is>
      </c>
      <c r="E2" s="4" t="inlineStr">
        <is>
          <t>Internal Price</t>
        </is>
      </c>
      <c r="F2" s="4" t="inlineStr">
        <is>
          <t>Broker Date</t>
        </is>
      </c>
      <c r="G2" s="4" t="inlineStr">
        <is>
          <t>Broker Qty</t>
        </is>
      </c>
      <c r="H2" s="4" t="inlineStr">
        <is>
          <t>Broker Price</t>
        </is>
      </c>
      <c r="I2" s="4" t="inlineStr">
        <is>
          <t>Break Type</t>
        </is>
      </c>
      <c r="J2" s="4" t="inlineStr">
        <is>
          <t>Qty Difference</t>
        </is>
      </c>
      <c r="K2" s="4" t="inlineStr">
        <is>
          <t>Price Difference</t>
        </is>
      </c>
      <c r="L2" s="4" t="inlineStr">
        <is>
          <t>Recommended Action</t>
        </is>
      </c>
    </row>
    <row r="3">
      <c r="A3" s="6" t="inlineStr">
        <is>
          <t>T1001</t>
        </is>
      </c>
      <c r="B3" s="6">
        <f>IFERROR(XLOOKUP(A3,'Internal Trades'!$A$3:$A$20,'Internal Trades'!$B$3:$B$20),"")</f>
        <v/>
      </c>
      <c r="C3" s="6">
        <f>IFERROR(XLOOKUP(A3,'Internal Trades'!$A$3:$A$20,'Internal Trades'!$D$3:$D$20),IFERROR(XLOOKUP(A3,'Broker Trades'!$A$3:$A$20,'Broker Trades'!$D$3:$D$20),""))</f>
        <v/>
      </c>
      <c r="D3" s="6">
        <f>IFERROR(XLOOKUP(A3,'Internal Trades'!$A$3:$A$20,'Internal Trades'!$F$3:$F$20),"")</f>
        <v/>
      </c>
      <c r="E3" s="7">
        <f>IFERROR(XLOOKUP(A3,'Internal Trades'!$A$3:$A$20,'Internal Trades'!$G$3:$G$20),"")</f>
        <v/>
      </c>
      <c r="F3" s="6">
        <f>IFERROR(XLOOKUP(A3,'Broker Trades'!$A$3:$A$20,'Broker Trades'!$B$3:$B$20),"")</f>
        <v/>
      </c>
      <c r="G3" s="6">
        <f>IFERROR(XLOOKUP(A3,'Broker Trades'!$A$3:$A$20,'Broker Trades'!$F$3:$F$20),"")</f>
        <v/>
      </c>
      <c r="H3" s="7">
        <f>IFERROR(XLOOKUP(A3,'Broker Trades'!$A$3:$A$20,'Broker Trades'!$G$3:$G$20),"")</f>
        <v/>
      </c>
      <c r="I3" s="3">
        <f>IF(COUNTIF('Internal Trades'!$A$3:$A$20,A3)&gt;1,"Duplicate Internal",IF(COUNTIF('Broker Trades'!$A$3:$A$20,A3)&gt;1,"Duplicate Broker",IF(COUNTIF('Internal Trades'!$A$3:$A$20,A3)=0,"Missing Internally",IF(COUNTIF('Broker Trades'!$A$3:$A$20,A3)=0,"Missing at Broker",IF(D3&lt;&gt;G3,"Quantity Mismatch",IF(ABS(E3-H3)&gt;0.01,"Price Mismatch","Matched"))))))</f>
        <v/>
      </c>
      <c r="J3" s="6">
        <f>IF(OR(D3="",G3=""),"",D3-G3)</f>
        <v/>
      </c>
      <c r="K3" s="7">
        <f>IF(OR(E3="",H3=""),"",ROUND(E3-H3,2))</f>
        <v/>
      </c>
      <c r="L3" s="3">
        <f>IF(I3="Matched","No action - retain evidence",IF(I3="Missing at Broker","Contact broker and confirm trade",IF(I3="Missing Internally","Investigate missing internal record",IF(I3="Quantity Mismatch","Verify executed quantity",IF(I3="Price Mismatch","Verify execution price",IF(OR(I3="Duplicate Broker",I3="Duplicate Internal"),"Investigate duplicate record","Investigate break"))))))</f>
        <v/>
      </c>
    </row>
    <row r="4">
      <c r="A4" s="6" t="inlineStr">
        <is>
          <t>T1002</t>
        </is>
      </c>
      <c r="B4" s="6">
        <f>IFERROR(XLOOKUP(A4,'Internal Trades'!$A$3:$A$20,'Internal Trades'!$B$3:$B$20),"")</f>
        <v/>
      </c>
      <c r="C4" s="6">
        <f>IFERROR(XLOOKUP(A4,'Internal Trades'!$A$3:$A$20,'Internal Trades'!$D$3:$D$20),IFERROR(XLOOKUP(A4,'Broker Trades'!$A$3:$A$20,'Broker Trades'!$D$3:$D$20),""))</f>
        <v/>
      </c>
      <c r="D4" s="6">
        <f>IFERROR(XLOOKUP(A4,'Internal Trades'!$A$3:$A$20,'Internal Trades'!$F$3:$F$20),"")</f>
        <v/>
      </c>
      <c r="E4" s="7">
        <f>IFERROR(XLOOKUP(A4,'Internal Trades'!$A$3:$A$20,'Internal Trades'!$G$3:$G$20),"")</f>
        <v/>
      </c>
      <c r="F4" s="6">
        <f>IFERROR(XLOOKUP(A4,'Broker Trades'!$A$3:$A$20,'Broker Trades'!$B$3:$B$20),"")</f>
        <v/>
      </c>
      <c r="G4" s="6">
        <f>IFERROR(XLOOKUP(A4,'Broker Trades'!$A$3:$A$20,'Broker Trades'!$F$3:$F$20),"")</f>
        <v/>
      </c>
      <c r="H4" s="7">
        <f>IFERROR(XLOOKUP(A4,'Broker Trades'!$A$3:$A$20,'Broker Trades'!$G$3:$G$20),"")</f>
        <v/>
      </c>
      <c r="I4" s="3">
        <f>IF(COUNTIF('Internal Trades'!$A$3:$A$20,A4)&gt;1,"Duplicate Internal",IF(COUNTIF('Broker Trades'!$A$3:$A$20,A4)&gt;1,"Duplicate Broker",IF(COUNTIF('Internal Trades'!$A$3:$A$20,A4)=0,"Missing Internally",IF(COUNTIF('Broker Trades'!$A$3:$A$20,A4)=0,"Missing at Broker",IF(D4&lt;&gt;G4,"Quantity Mismatch",IF(ABS(E4-H4)&gt;0.01,"Price Mismatch","Matched"))))))</f>
        <v/>
      </c>
      <c r="J4" s="6">
        <f>IF(OR(D4="",G4=""),"",D4-G4)</f>
        <v/>
      </c>
      <c r="K4" s="7">
        <f>IF(OR(E4="",H4=""),"",ROUND(E4-H4,2))</f>
        <v/>
      </c>
      <c r="L4" s="3">
        <f>IF(I4="Matched","No action - retain evidence",IF(I4="Missing at Broker","Contact broker and confirm trade",IF(I4="Missing Internally","Investigate missing internal record",IF(I4="Quantity Mismatch","Verify executed quantity",IF(I4="Price Mismatch","Verify execution price",IF(OR(I4="Duplicate Broker",I4="Duplicate Internal"),"Investigate duplicate record","Investigate break"))))))</f>
        <v/>
      </c>
    </row>
    <row r="5">
      <c r="A5" s="6" t="inlineStr">
        <is>
          <t>T1003</t>
        </is>
      </c>
      <c r="B5" s="6">
        <f>IFERROR(XLOOKUP(A5,'Internal Trades'!$A$3:$A$20,'Internal Trades'!$B$3:$B$20),"")</f>
        <v/>
      </c>
      <c r="C5" s="6">
        <f>IFERROR(XLOOKUP(A5,'Internal Trades'!$A$3:$A$20,'Internal Trades'!$D$3:$D$20),IFERROR(XLOOKUP(A5,'Broker Trades'!$A$3:$A$20,'Broker Trades'!$D$3:$D$20),""))</f>
        <v/>
      </c>
      <c r="D5" s="6">
        <f>IFERROR(XLOOKUP(A5,'Internal Trades'!$A$3:$A$20,'Internal Trades'!$F$3:$F$20),"")</f>
        <v/>
      </c>
      <c r="E5" s="7">
        <f>IFERROR(XLOOKUP(A5,'Internal Trades'!$A$3:$A$20,'Internal Trades'!$G$3:$G$20),"")</f>
        <v/>
      </c>
      <c r="F5" s="6">
        <f>IFERROR(XLOOKUP(A5,'Broker Trades'!$A$3:$A$20,'Broker Trades'!$B$3:$B$20),"")</f>
        <v/>
      </c>
      <c r="G5" s="6">
        <f>IFERROR(XLOOKUP(A5,'Broker Trades'!$A$3:$A$20,'Broker Trades'!$F$3:$F$20),"")</f>
        <v/>
      </c>
      <c r="H5" s="7">
        <f>IFERROR(XLOOKUP(A5,'Broker Trades'!$A$3:$A$20,'Broker Trades'!$G$3:$G$20),"")</f>
        <v/>
      </c>
      <c r="I5" s="3">
        <f>IF(COUNTIF('Internal Trades'!$A$3:$A$20,A5)&gt;1,"Duplicate Internal",IF(COUNTIF('Broker Trades'!$A$3:$A$20,A5)&gt;1,"Duplicate Broker",IF(COUNTIF('Internal Trades'!$A$3:$A$20,A5)=0,"Missing Internally",IF(COUNTIF('Broker Trades'!$A$3:$A$20,A5)=0,"Missing at Broker",IF(D5&lt;&gt;G5,"Quantity Mismatch",IF(ABS(E5-H5)&gt;0.01,"Price Mismatch","Matched"))))))</f>
        <v/>
      </c>
      <c r="J5" s="6">
        <f>IF(OR(D5="",G5=""),"",D5-G5)</f>
        <v/>
      </c>
      <c r="K5" s="7">
        <f>IF(OR(E5="",H5=""),"",ROUND(E5-H5,2))</f>
        <v/>
      </c>
      <c r="L5" s="3">
        <f>IF(I5="Matched","No action - retain evidence",IF(I5="Missing at Broker","Contact broker and confirm trade",IF(I5="Missing Internally","Investigate missing internal record",IF(I5="Quantity Mismatch","Verify executed quantity",IF(I5="Price Mismatch","Verify execution price",IF(OR(I5="Duplicate Broker",I5="Duplicate Internal"),"Investigate duplicate record","Investigate break"))))))</f>
        <v/>
      </c>
    </row>
    <row r="6">
      <c r="A6" s="6" t="inlineStr">
        <is>
          <t>T1004</t>
        </is>
      </c>
      <c r="B6" s="6">
        <f>IFERROR(XLOOKUP(A6,'Internal Trades'!$A$3:$A$20,'Internal Trades'!$B$3:$B$20),"")</f>
        <v/>
      </c>
      <c r="C6" s="6">
        <f>IFERROR(XLOOKUP(A6,'Internal Trades'!$A$3:$A$20,'Internal Trades'!$D$3:$D$20),IFERROR(XLOOKUP(A6,'Broker Trades'!$A$3:$A$20,'Broker Trades'!$D$3:$D$20),""))</f>
        <v/>
      </c>
      <c r="D6" s="6">
        <f>IFERROR(XLOOKUP(A6,'Internal Trades'!$A$3:$A$20,'Internal Trades'!$F$3:$F$20),"")</f>
        <v/>
      </c>
      <c r="E6" s="7">
        <f>IFERROR(XLOOKUP(A6,'Internal Trades'!$A$3:$A$20,'Internal Trades'!$G$3:$G$20),"")</f>
        <v/>
      </c>
      <c r="F6" s="6">
        <f>IFERROR(XLOOKUP(A6,'Broker Trades'!$A$3:$A$20,'Broker Trades'!$B$3:$B$20),"")</f>
        <v/>
      </c>
      <c r="G6" s="6">
        <f>IFERROR(XLOOKUP(A6,'Broker Trades'!$A$3:$A$20,'Broker Trades'!$F$3:$F$20),"")</f>
        <v/>
      </c>
      <c r="H6" s="7">
        <f>IFERROR(XLOOKUP(A6,'Broker Trades'!$A$3:$A$20,'Broker Trades'!$G$3:$G$20),"")</f>
        <v/>
      </c>
      <c r="I6" s="3">
        <f>IF(COUNTIF('Internal Trades'!$A$3:$A$20,A6)&gt;1,"Duplicate Internal",IF(COUNTIF('Broker Trades'!$A$3:$A$20,A6)&gt;1,"Duplicate Broker",IF(COUNTIF('Internal Trades'!$A$3:$A$20,A6)=0,"Missing Internally",IF(COUNTIF('Broker Trades'!$A$3:$A$20,A6)=0,"Missing at Broker",IF(D6&lt;&gt;G6,"Quantity Mismatch",IF(ABS(E6-H6)&gt;0.01,"Price Mismatch","Matched"))))))</f>
        <v/>
      </c>
      <c r="J6" s="6">
        <f>IF(OR(D6="",G6=""),"",D6-G6)</f>
        <v/>
      </c>
      <c r="K6" s="7">
        <f>IF(OR(E6="",H6=""),"",ROUND(E6-H6,2))</f>
        <v/>
      </c>
      <c r="L6" s="3">
        <f>IF(I6="Matched","No action - retain evidence",IF(I6="Missing at Broker","Contact broker and confirm trade",IF(I6="Missing Internally","Investigate missing internal record",IF(I6="Quantity Mismatch","Verify executed quantity",IF(I6="Price Mismatch","Verify execution price",IF(OR(I6="Duplicate Broker",I6="Duplicate Internal"),"Investigate duplicate record","Investigate break"))))))</f>
        <v/>
      </c>
    </row>
    <row r="7">
      <c r="A7" s="6" t="inlineStr">
        <is>
          <t>T1005</t>
        </is>
      </c>
      <c r="B7" s="6">
        <f>IFERROR(XLOOKUP(A7,'Internal Trades'!$A$3:$A$20,'Internal Trades'!$B$3:$B$20),"")</f>
        <v/>
      </c>
      <c r="C7" s="6">
        <f>IFERROR(XLOOKUP(A7,'Internal Trades'!$A$3:$A$20,'Internal Trades'!$D$3:$D$20),IFERROR(XLOOKUP(A7,'Broker Trades'!$A$3:$A$20,'Broker Trades'!$D$3:$D$20),""))</f>
        <v/>
      </c>
      <c r="D7" s="6">
        <f>IFERROR(XLOOKUP(A7,'Internal Trades'!$A$3:$A$20,'Internal Trades'!$F$3:$F$20),"")</f>
        <v/>
      </c>
      <c r="E7" s="7">
        <f>IFERROR(XLOOKUP(A7,'Internal Trades'!$A$3:$A$20,'Internal Trades'!$G$3:$G$20),"")</f>
        <v/>
      </c>
      <c r="F7" s="6">
        <f>IFERROR(XLOOKUP(A7,'Broker Trades'!$A$3:$A$20,'Broker Trades'!$B$3:$B$20),"")</f>
        <v/>
      </c>
      <c r="G7" s="6">
        <f>IFERROR(XLOOKUP(A7,'Broker Trades'!$A$3:$A$20,'Broker Trades'!$F$3:$F$20),"")</f>
        <v/>
      </c>
      <c r="H7" s="7">
        <f>IFERROR(XLOOKUP(A7,'Broker Trades'!$A$3:$A$20,'Broker Trades'!$G$3:$G$20),"")</f>
        <v/>
      </c>
      <c r="I7" s="3">
        <f>IF(COUNTIF('Internal Trades'!$A$3:$A$20,A7)&gt;1,"Duplicate Internal",IF(COUNTIF('Broker Trades'!$A$3:$A$20,A7)&gt;1,"Duplicate Broker",IF(COUNTIF('Internal Trades'!$A$3:$A$20,A7)=0,"Missing Internally",IF(COUNTIF('Broker Trades'!$A$3:$A$20,A7)=0,"Missing at Broker",IF(D7&lt;&gt;G7,"Quantity Mismatch",IF(ABS(E7-H7)&gt;0.01,"Price Mismatch","Matched"))))))</f>
        <v/>
      </c>
      <c r="J7" s="6">
        <f>IF(OR(D7="",G7=""),"",D7-G7)</f>
        <v/>
      </c>
      <c r="K7" s="7">
        <f>IF(OR(E7="",H7=""),"",ROUND(E7-H7,2))</f>
        <v/>
      </c>
      <c r="L7" s="3">
        <f>IF(I7="Matched","No action - retain evidence",IF(I7="Missing at Broker","Contact broker and confirm trade",IF(I7="Missing Internally","Investigate missing internal record",IF(I7="Quantity Mismatch","Verify executed quantity",IF(I7="Price Mismatch","Verify execution price",IF(OR(I7="Duplicate Broker",I7="Duplicate Internal"),"Investigate duplicate record","Investigate break"))))))</f>
        <v/>
      </c>
    </row>
    <row r="8">
      <c r="A8" s="6" t="inlineStr">
        <is>
          <t>T1006</t>
        </is>
      </c>
      <c r="B8" s="6">
        <f>IFERROR(XLOOKUP(A8,'Internal Trades'!$A$3:$A$20,'Internal Trades'!$B$3:$B$20),"")</f>
        <v/>
      </c>
      <c r="C8" s="6">
        <f>IFERROR(XLOOKUP(A8,'Internal Trades'!$A$3:$A$20,'Internal Trades'!$D$3:$D$20),IFERROR(XLOOKUP(A8,'Broker Trades'!$A$3:$A$20,'Broker Trades'!$D$3:$D$20),""))</f>
        <v/>
      </c>
      <c r="D8" s="6">
        <f>IFERROR(XLOOKUP(A8,'Internal Trades'!$A$3:$A$20,'Internal Trades'!$F$3:$F$20),"")</f>
        <v/>
      </c>
      <c r="E8" s="7">
        <f>IFERROR(XLOOKUP(A8,'Internal Trades'!$A$3:$A$20,'Internal Trades'!$G$3:$G$20),"")</f>
        <v/>
      </c>
      <c r="F8" s="6">
        <f>IFERROR(XLOOKUP(A8,'Broker Trades'!$A$3:$A$20,'Broker Trades'!$B$3:$B$20),"")</f>
        <v/>
      </c>
      <c r="G8" s="6">
        <f>IFERROR(XLOOKUP(A8,'Broker Trades'!$A$3:$A$20,'Broker Trades'!$F$3:$F$20),"")</f>
        <v/>
      </c>
      <c r="H8" s="7">
        <f>IFERROR(XLOOKUP(A8,'Broker Trades'!$A$3:$A$20,'Broker Trades'!$G$3:$G$20),"")</f>
        <v/>
      </c>
      <c r="I8" s="3">
        <f>IF(COUNTIF('Internal Trades'!$A$3:$A$20,A8)&gt;1,"Duplicate Internal",IF(COUNTIF('Broker Trades'!$A$3:$A$20,A8)&gt;1,"Duplicate Broker",IF(COUNTIF('Internal Trades'!$A$3:$A$20,A8)=0,"Missing Internally",IF(COUNTIF('Broker Trades'!$A$3:$A$20,A8)=0,"Missing at Broker",IF(D8&lt;&gt;G8,"Quantity Mismatch",IF(ABS(E8-H8)&gt;0.01,"Price Mismatch","Matched"))))))</f>
        <v/>
      </c>
      <c r="J8" s="6">
        <f>IF(OR(D8="",G8=""),"",D8-G8)</f>
        <v/>
      </c>
      <c r="K8" s="7">
        <f>IF(OR(E8="",H8=""),"",ROUND(E8-H8,2))</f>
        <v/>
      </c>
      <c r="L8" s="3">
        <f>IF(I8="Matched","No action - retain evidence",IF(I8="Missing at Broker","Contact broker and confirm trade",IF(I8="Missing Internally","Investigate missing internal record",IF(I8="Quantity Mismatch","Verify executed quantity",IF(I8="Price Mismatch","Verify execution price",IF(OR(I8="Duplicate Broker",I8="Duplicate Internal"),"Investigate duplicate record","Investigate break"))))))</f>
        <v/>
      </c>
    </row>
    <row r="9">
      <c r="A9" s="6" t="inlineStr">
        <is>
          <t>T1007</t>
        </is>
      </c>
      <c r="B9" s="6">
        <f>IFERROR(XLOOKUP(A9,'Internal Trades'!$A$3:$A$20,'Internal Trades'!$B$3:$B$20),"")</f>
        <v/>
      </c>
      <c r="C9" s="6">
        <f>IFERROR(XLOOKUP(A9,'Internal Trades'!$A$3:$A$20,'Internal Trades'!$D$3:$D$20),IFERROR(XLOOKUP(A9,'Broker Trades'!$A$3:$A$20,'Broker Trades'!$D$3:$D$20),""))</f>
        <v/>
      </c>
      <c r="D9" s="6">
        <f>IFERROR(XLOOKUP(A9,'Internal Trades'!$A$3:$A$20,'Internal Trades'!$F$3:$F$20),"")</f>
        <v/>
      </c>
      <c r="E9" s="7">
        <f>IFERROR(XLOOKUP(A9,'Internal Trades'!$A$3:$A$20,'Internal Trades'!$G$3:$G$20),"")</f>
        <v/>
      </c>
      <c r="F9" s="6">
        <f>IFERROR(XLOOKUP(A9,'Broker Trades'!$A$3:$A$20,'Broker Trades'!$B$3:$B$20),"")</f>
        <v/>
      </c>
      <c r="G9" s="6">
        <f>IFERROR(XLOOKUP(A9,'Broker Trades'!$A$3:$A$20,'Broker Trades'!$F$3:$F$20),"")</f>
        <v/>
      </c>
      <c r="H9" s="7">
        <f>IFERROR(XLOOKUP(A9,'Broker Trades'!$A$3:$A$20,'Broker Trades'!$G$3:$G$20),"")</f>
        <v/>
      </c>
      <c r="I9" s="3">
        <f>IF(COUNTIF('Internal Trades'!$A$3:$A$20,A9)&gt;1,"Duplicate Internal",IF(COUNTIF('Broker Trades'!$A$3:$A$20,A9)&gt;1,"Duplicate Broker",IF(COUNTIF('Internal Trades'!$A$3:$A$20,A9)=0,"Missing Internally",IF(COUNTIF('Broker Trades'!$A$3:$A$20,A9)=0,"Missing at Broker",IF(D9&lt;&gt;G9,"Quantity Mismatch",IF(ABS(E9-H9)&gt;0.01,"Price Mismatch","Matched"))))))</f>
        <v/>
      </c>
      <c r="J9" s="6">
        <f>IF(OR(D9="",G9=""),"",D9-G9)</f>
        <v/>
      </c>
      <c r="K9" s="7">
        <f>IF(OR(E9="",H9=""),"",ROUND(E9-H9,2))</f>
        <v/>
      </c>
      <c r="L9" s="3">
        <f>IF(I9="Matched","No action - retain evidence",IF(I9="Missing at Broker","Contact broker and confirm trade",IF(I9="Missing Internally","Investigate missing internal record",IF(I9="Quantity Mismatch","Verify executed quantity",IF(I9="Price Mismatch","Verify execution price",IF(OR(I9="Duplicate Broker",I9="Duplicate Internal"),"Investigate duplicate record","Investigate break"))))))</f>
        <v/>
      </c>
    </row>
    <row r="10">
      <c r="A10" s="6" t="inlineStr">
        <is>
          <t>T1008</t>
        </is>
      </c>
      <c r="B10" s="6">
        <f>IFERROR(XLOOKUP(A10,'Internal Trades'!$A$3:$A$20,'Internal Trades'!$B$3:$B$20),"")</f>
        <v/>
      </c>
      <c r="C10" s="6">
        <f>IFERROR(XLOOKUP(A10,'Internal Trades'!$A$3:$A$20,'Internal Trades'!$D$3:$D$20),IFERROR(XLOOKUP(A10,'Broker Trades'!$A$3:$A$20,'Broker Trades'!$D$3:$D$20),""))</f>
        <v/>
      </c>
      <c r="D10" s="6">
        <f>IFERROR(XLOOKUP(A10,'Internal Trades'!$A$3:$A$20,'Internal Trades'!$F$3:$F$20),"")</f>
        <v/>
      </c>
      <c r="E10" s="7">
        <f>IFERROR(XLOOKUP(A10,'Internal Trades'!$A$3:$A$20,'Internal Trades'!$G$3:$G$20),"")</f>
        <v/>
      </c>
      <c r="F10" s="6">
        <f>IFERROR(XLOOKUP(A10,'Broker Trades'!$A$3:$A$20,'Broker Trades'!$B$3:$B$20),"")</f>
        <v/>
      </c>
      <c r="G10" s="6">
        <f>IFERROR(XLOOKUP(A10,'Broker Trades'!$A$3:$A$20,'Broker Trades'!$F$3:$F$20),"")</f>
        <v/>
      </c>
      <c r="H10" s="7">
        <f>IFERROR(XLOOKUP(A10,'Broker Trades'!$A$3:$A$20,'Broker Trades'!$G$3:$G$20),"")</f>
        <v/>
      </c>
      <c r="I10" s="3">
        <f>IF(COUNTIF('Internal Trades'!$A$3:$A$20,A10)&gt;1,"Duplicate Internal",IF(COUNTIF('Broker Trades'!$A$3:$A$20,A10)&gt;1,"Duplicate Broker",IF(COUNTIF('Internal Trades'!$A$3:$A$20,A10)=0,"Missing Internally",IF(COUNTIF('Broker Trades'!$A$3:$A$20,A10)=0,"Missing at Broker",IF(D10&lt;&gt;G10,"Quantity Mismatch",IF(ABS(E10-H10)&gt;0.01,"Price Mismatch","Matched"))))))</f>
        <v/>
      </c>
      <c r="J10" s="6">
        <f>IF(OR(D10="",G10=""),"",D10-G10)</f>
        <v/>
      </c>
      <c r="K10" s="7">
        <f>IF(OR(E10="",H10=""),"",ROUND(E10-H10,2))</f>
        <v/>
      </c>
      <c r="L10" s="3">
        <f>IF(I10="Matched","No action - retain evidence",IF(I10="Missing at Broker","Contact broker and confirm trade",IF(I10="Missing Internally","Investigate missing internal record",IF(I10="Quantity Mismatch","Verify executed quantity",IF(I10="Price Mismatch","Verify execution price",IF(OR(I10="Duplicate Broker",I10="Duplicate Internal"),"Investigate duplicate record","Investigate break"))))))</f>
        <v/>
      </c>
    </row>
    <row r="11">
      <c r="A11" s="6" t="inlineStr">
        <is>
          <t>T1009</t>
        </is>
      </c>
      <c r="B11" s="6">
        <f>IFERROR(XLOOKUP(A11,'Internal Trades'!$A$3:$A$20,'Internal Trades'!$B$3:$B$20),"")</f>
        <v/>
      </c>
      <c r="C11" s="6">
        <f>IFERROR(XLOOKUP(A11,'Internal Trades'!$A$3:$A$20,'Internal Trades'!$D$3:$D$20),IFERROR(XLOOKUP(A11,'Broker Trades'!$A$3:$A$20,'Broker Trades'!$D$3:$D$20),""))</f>
        <v/>
      </c>
      <c r="D11" s="6">
        <f>IFERROR(XLOOKUP(A11,'Internal Trades'!$A$3:$A$20,'Internal Trades'!$F$3:$F$20),"")</f>
        <v/>
      </c>
      <c r="E11" s="7">
        <f>IFERROR(XLOOKUP(A11,'Internal Trades'!$A$3:$A$20,'Internal Trades'!$G$3:$G$20),"")</f>
        <v/>
      </c>
      <c r="F11" s="6">
        <f>IFERROR(XLOOKUP(A11,'Broker Trades'!$A$3:$A$20,'Broker Trades'!$B$3:$B$20),"")</f>
        <v/>
      </c>
      <c r="G11" s="6">
        <f>IFERROR(XLOOKUP(A11,'Broker Trades'!$A$3:$A$20,'Broker Trades'!$F$3:$F$20),"")</f>
        <v/>
      </c>
      <c r="H11" s="7">
        <f>IFERROR(XLOOKUP(A11,'Broker Trades'!$A$3:$A$20,'Broker Trades'!$G$3:$G$20),"")</f>
        <v/>
      </c>
      <c r="I11" s="3">
        <f>IF(COUNTIF('Internal Trades'!$A$3:$A$20,A11)&gt;1,"Duplicate Internal",IF(COUNTIF('Broker Trades'!$A$3:$A$20,A11)&gt;1,"Duplicate Broker",IF(COUNTIF('Internal Trades'!$A$3:$A$20,A11)=0,"Missing Internally",IF(COUNTIF('Broker Trades'!$A$3:$A$20,A11)=0,"Missing at Broker",IF(D11&lt;&gt;G11,"Quantity Mismatch",IF(ABS(E11-H11)&gt;0.01,"Price Mismatch","Matched"))))))</f>
        <v/>
      </c>
      <c r="J11" s="6">
        <f>IF(OR(D11="",G11=""),"",D11-G11)</f>
        <v/>
      </c>
      <c r="K11" s="7">
        <f>IF(OR(E11="",H11=""),"",ROUND(E11-H11,2))</f>
        <v/>
      </c>
      <c r="L11" s="3">
        <f>IF(I11="Matched","No action - retain evidence",IF(I11="Missing at Broker","Contact broker and confirm trade",IF(I11="Missing Internally","Investigate missing internal record",IF(I11="Quantity Mismatch","Verify executed quantity",IF(I11="Price Mismatch","Verify execution price",IF(OR(I11="Duplicate Broker",I11="Duplicate Internal"),"Investigate duplicate record","Investigate break"))))))</f>
        <v/>
      </c>
    </row>
    <row r="12">
      <c r="A12" s="6" t="inlineStr">
        <is>
          <t>T1010</t>
        </is>
      </c>
      <c r="B12" s="6">
        <f>IFERROR(XLOOKUP(A12,'Internal Trades'!$A$3:$A$20,'Internal Trades'!$B$3:$B$20),"")</f>
        <v/>
      </c>
      <c r="C12" s="6">
        <f>IFERROR(XLOOKUP(A12,'Internal Trades'!$A$3:$A$20,'Internal Trades'!$D$3:$D$20),IFERROR(XLOOKUP(A12,'Broker Trades'!$A$3:$A$20,'Broker Trades'!$D$3:$D$20),""))</f>
        <v/>
      </c>
      <c r="D12" s="6">
        <f>IFERROR(XLOOKUP(A12,'Internal Trades'!$A$3:$A$20,'Internal Trades'!$F$3:$F$20),"")</f>
        <v/>
      </c>
      <c r="E12" s="7">
        <f>IFERROR(XLOOKUP(A12,'Internal Trades'!$A$3:$A$20,'Internal Trades'!$G$3:$G$20),"")</f>
        <v/>
      </c>
      <c r="F12" s="6">
        <f>IFERROR(XLOOKUP(A12,'Broker Trades'!$A$3:$A$20,'Broker Trades'!$B$3:$B$20),"")</f>
        <v/>
      </c>
      <c r="G12" s="6">
        <f>IFERROR(XLOOKUP(A12,'Broker Trades'!$A$3:$A$20,'Broker Trades'!$F$3:$F$20),"")</f>
        <v/>
      </c>
      <c r="H12" s="7">
        <f>IFERROR(XLOOKUP(A12,'Broker Trades'!$A$3:$A$20,'Broker Trades'!$G$3:$G$20),"")</f>
        <v/>
      </c>
      <c r="I12" s="3">
        <f>IF(COUNTIF('Internal Trades'!$A$3:$A$20,A12)&gt;1,"Duplicate Internal",IF(COUNTIF('Broker Trades'!$A$3:$A$20,A12)&gt;1,"Duplicate Broker",IF(COUNTIF('Internal Trades'!$A$3:$A$20,A12)=0,"Missing Internally",IF(COUNTIF('Broker Trades'!$A$3:$A$20,A12)=0,"Missing at Broker",IF(D12&lt;&gt;G12,"Quantity Mismatch",IF(ABS(E12-H12)&gt;0.01,"Price Mismatch","Matched"))))))</f>
        <v/>
      </c>
      <c r="J12" s="6">
        <f>IF(OR(D12="",G12=""),"",D12-G12)</f>
        <v/>
      </c>
      <c r="K12" s="7">
        <f>IF(OR(E12="",H12=""),"",ROUND(E12-H12,2))</f>
        <v/>
      </c>
      <c r="L12" s="3">
        <f>IF(I12="Matched","No action - retain evidence",IF(I12="Missing at Broker","Contact broker and confirm trade",IF(I12="Missing Internally","Investigate missing internal record",IF(I12="Quantity Mismatch","Verify executed quantity",IF(I12="Price Mismatch","Verify execution price",IF(OR(I12="Duplicate Broker",I12="Duplicate Internal"),"Investigate duplicate record","Investigate break"))))))</f>
        <v/>
      </c>
    </row>
    <row r="13">
      <c r="A13" s="6" t="inlineStr">
        <is>
          <t>T1011</t>
        </is>
      </c>
      <c r="B13" s="6">
        <f>IFERROR(XLOOKUP(A13,'Internal Trades'!$A$3:$A$20,'Internal Trades'!$B$3:$B$20),"")</f>
        <v/>
      </c>
      <c r="C13" s="6">
        <f>IFERROR(XLOOKUP(A13,'Internal Trades'!$A$3:$A$20,'Internal Trades'!$D$3:$D$20),IFERROR(XLOOKUP(A13,'Broker Trades'!$A$3:$A$20,'Broker Trades'!$D$3:$D$20),""))</f>
        <v/>
      </c>
      <c r="D13" s="6">
        <f>IFERROR(XLOOKUP(A13,'Internal Trades'!$A$3:$A$20,'Internal Trades'!$F$3:$F$20),"")</f>
        <v/>
      </c>
      <c r="E13" s="7">
        <f>IFERROR(XLOOKUP(A13,'Internal Trades'!$A$3:$A$20,'Internal Trades'!$G$3:$G$20),"")</f>
        <v/>
      </c>
      <c r="F13" s="6">
        <f>IFERROR(XLOOKUP(A13,'Broker Trades'!$A$3:$A$20,'Broker Trades'!$B$3:$B$20),"")</f>
        <v/>
      </c>
      <c r="G13" s="6">
        <f>IFERROR(XLOOKUP(A13,'Broker Trades'!$A$3:$A$20,'Broker Trades'!$F$3:$F$20),"")</f>
        <v/>
      </c>
      <c r="H13" s="7">
        <f>IFERROR(XLOOKUP(A13,'Broker Trades'!$A$3:$A$20,'Broker Trades'!$G$3:$G$20),"")</f>
        <v/>
      </c>
      <c r="I13" s="3">
        <f>IF(COUNTIF('Internal Trades'!$A$3:$A$20,A13)&gt;1,"Duplicate Internal",IF(COUNTIF('Broker Trades'!$A$3:$A$20,A13)&gt;1,"Duplicate Broker",IF(COUNTIF('Internal Trades'!$A$3:$A$20,A13)=0,"Missing Internally",IF(COUNTIF('Broker Trades'!$A$3:$A$20,A13)=0,"Missing at Broker",IF(D13&lt;&gt;G13,"Quantity Mismatch",IF(ABS(E13-H13)&gt;0.01,"Price Mismatch","Matched"))))))</f>
        <v/>
      </c>
      <c r="J13" s="6">
        <f>IF(OR(D13="",G13=""),"",D13-G13)</f>
        <v/>
      </c>
      <c r="K13" s="7">
        <f>IF(OR(E13="",H13=""),"",ROUND(E13-H13,2))</f>
        <v/>
      </c>
      <c r="L13" s="3">
        <f>IF(I13="Matched","No action - retain evidence",IF(I13="Missing at Broker","Contact broker and confirm trade",IF(I13="Missing Internally","Investigate missing internal record",IF(I13="Quantity Mismatch","Verify executed quantity",IF(I13="Price Mismatch","Verify execution price",IF(OR(I13="Duplicate Broker",I13="Duplicate Internal"),"Investigate duplicate record","Investigate break"))))))</f>
        <v/>
      </c>
    </row>
    <row r="14">
      <c r="A14" s="6" t="inlineStr">
        <is>
          <t>T1012</t>
        </is>
      </c>
      <c r="B14" s="6">
        <f>IFERROR(XLOOKUP(A14,'Internal Trades'!$A$3:$A$20,'Internal Trades'!$B$3:$B$20),"")</f>
        <v/>
      </c>
      <c r="C14" s="6">
        <f>IFERROR(XLOOKUP(A14,'Internal Trades'!$A$3:$A$20,'Internal Trades'!$D$3:$D$20),IFERROR(XLOOKUP(A14,'Broker Trades'!$A$3:$A$20,'Broker Trades'!$D$3:$D$20),""))</f>
        <v/>
      </c>
      <c r="D14" s="6">
        <f>IFERROR(XLOOKUP(A14,'Internal Trades'!$A$3:$A$20,'Internal Trades'!$F$3:$F$20),"")</f>
        <v/>
      </c>
      <c r="E14" s="7">
        <f>IFERROR(XLOOKUP(A14,'Internal Trades'!$A$3:$A$20,'Internal Trades'!$G$3:$G$20),"")</f>
        <v/>
      </c>
      <c r="F14" s="6">
        <f>IFERROR(XLOOKUP(A14,'Broker Trades'!$A$3:$A$20,'Broker Trades'!$B$3:$B$20),"")</f>
        <v/>
      </c>
      <c r="G14" s="6">
        <f>IFERROR(XLOOKUP(A14,'Broker Trades'!$A$3:$A$20,'Broker Trades'!$F$3:$F$20),"")</f>
        <v/>
      </c>
      <c r="H14" s="7">
        <f>IFERROR(XLOOKUP(A14,'Broker Trades'!$A$3:$A$20,'Broker Trades'!$G$3:$G$20),"")</f>
        <v/>
      </c>
      <c r="I14" s="3">
        <f>IF(COUNTIF('Internal Trades'!$A$3:$A$20,A14)&gt;1,"Duplicate Internal",IF(COUNTIF('Broker Trades'!$A$3:$A$20,A14)&gt;1,"Duplicate Broker",IF(COUNTIF('Internal Trades'!$A$3:$A$20,A14)=0,"Missing Internally",IF(COUNTIF('Broker Trades'!$A$3:$A$20,A14)=0,"Missing at Broker",IF(D14&lt;&gt;G14,"Quantity Mismatch",IF(ABS(E14-H14)&gt;0.01,"Price Mismatch","Matched"))))))</f>
        <v/>
      </c>
      <c r="J14" s="6">
        <f>IF(OR(D14="",G14=""),"",D14-G14)</f>
        <v/>
      </c>
      <c r="K14" s="7">
        <f>IF(OR(E14="",H14=""),"",ROUND(E14-H14,2))</f>
        <v/>
      </c>
      <c r="L14" s="3">
        <f>IF(I14="Matched","No action - retain evidence",IF(I14="Missing at Broker","Contact broker and confirm trade",IF(I14="Missing Internally","Investigate missing internal record",IF(I14="Quantity Mismatch","Verify executed quantity",IF(I14="Price Mismatch","Verify execution price",IF(OR(I14="Duplicate Broker",I14="Duplicate Internal"),"Investigate duplicate record","Investigate break"))))))</f>
        <v/>
      </c>
    </row>
    <row r="15">
      <c r="A15" s="6" t="inlineStr">
        <is>
          <t>T1013</t>
        </is>
      </c>
      <c r="B15" s="6">
        <f>IFERROR(XLOOKUP(A15,'Internal Trades'!$A$3:$A$20,'Internal Trades'!$B$3:$B$20),"")</f>
        <v/>
      </c>
      <c r="C15" s="6">
        <f>IFERROR(XLOOKUP(A15,'Internal Trades'!$A$3:$A$20,'Internal Trades'!$D$3:$D$20),IFERROR(XLOOKUP(A15,'Broker Trades'!$A$3:$A$20,'Broker Trades'!$D$3:$D$20),""))</f>
        <v/>
      </c>
      <c r="D15" s="6">
        <f>IFERROR(XLOOKUP(A15,'Internal Trades'!$A$3:$A$20,'Internal Trades'!$F$3:$F$20),"")</f>
        <v/>
      </c>
      <c r="E15" s="7">
        <f>IFERROR(XLOOKUP(A15,'Internal Trades'!$A$3:$A$20,'Internal Trades'!$G$3:$G$20),"")</f>
        <v/>
      </c>
      <c r="F15" s="6">
        <f>IFERROR(XLOOKUP(A15,'Broker Trades'!$A$3:$A$20,'Broker Trades'!$B$3:$B$20),"")</f>
        <v/>
      </c>
      <c r="G15" s="6">
        <f>IFERROR(XLOOKUP(A15,'Broker Trades'!$A$3:$A$20,'Broker Trades'!$F$3:$F$20),"")</f>
        <v/>
      </c>
      <c r="H15" s="7">
        <f>IFERROR(XLOOKUP(A15,'Broker Trades'!$A$3:$A$20,'Broker Trades'!$G$3:$G$20),"")</f>
        <v/>
      </c>
      <c r="I15" s="3">
        <f>IF(COUNTIF('Internal Trades'!$A$3:$A$20,A15)&gt;1,"Duplicate Internal",IF(COUNTIF('Broker Trades'!$A$3:$A$20,A15)&gt;1,"Duplicate Broker",IF(COUNTIF('Internal Trades'!$A$3:$A$20,A15)=0,"Missing Internally",IF(COUNTIF('Broker Trades'!$A$3:$A$20,A15)=0,"Missing at Broker",IF(D15&lt;&gt;G15,"Quantity Mismatch",IF(ABS(E15-H15)&gt;0.01,"Price Mismatch","Matched"))))))</f>
        <v/>
      </c>
      <c r="J15" s="6">
        <f>IF(OR(D15="",G15=""),"",D15-G15)</f>
        <v/>
      </c>
      <c r="K15" s="7">
        <f>IF(OR(E15="",H15=""),"",ROUND(E15-H15,2))</f>
        <v/>
      </c>
      <c r="L15" s="3">
        <f>IF(I15="Matched","No action - retain evidence",IF(I15="Missing at Broker","Contact broker and confirm trade",IF(I15="Missing Internally","Investigate missing internal record",IF(I15="Quantity Mismatch","Verify executed quantity",IF(I15="Price Mismatch","Verify execution price",IF(OR(I15="Duplicate Broker",I15="Duplicate Internal"),"Investigate duplicate record","Investigate break"))))))</f>
        <v/>
      </c>
    </row>
    <row r="16">
      <c r="A16" s="6" t="inlineStr">
        <is>
          <t>T1014</t>
        </is>
      </c>
      <c r="B16" s="6">
        <f>IFERROR(XLOOKUP(A16,'Internal Trades'!$A$3:$A$20,'Internal Trades'!$B$3:$B$20),"")</f>
        <v/>
      </c>
      <c r="C16" s="6">
        <f>IFERROR(XLOOKUP(A16,'Internal Trades'!$A$3:$A$20,'Internal Trades'!$D$3:$D$20),IFERROR(XLOOKUP(A16,'Broker Trades'!$A$3:$A$20,'Broker Trades'!$D$3:$D$20),""))</f>
        <v/>
      </c>
      <c r="D16" s="6">
        <f>IFERROR(XLOOKUP(A16,'Internal Trades'!$A$3:$A$20,'Internal Trades'!$F$3:$F$20),"")</f>
        <v/>
      </c>
      <c r="E16" s="7">
        <f>IFERROR(XLOOKUP(A16,'Internal Trades'!$A$3:$A$20,'Internal Trades'!$G$3:$G$20),"")</f>
        <v/>
      </c>
      <c r="F16" s="6">
        <f>IFERROR(XLOOKUP(A16,'Broker Trades'!$A$3:$A$20,'Broker Trades'!$B$3:$B$20),"")</f>
        <v/>
      </c>
      <c r="G16" s="6">
        <f>IFERROR(XLOOKUP(A16,'Broker Trades'!$A$3:$A$20,'Broker Trades'!$F$3:$F$20),"")</f>
        <v/>
      </c>
      <c r="H16" s="7">
        <f>IFERROR(XLOOKUP(A16,'Broker Trades'!$A$3:$A$20,'Broker Trades'!$G$3:$G$20),"")</f>
        <v/>
      </c>
      <c r="I16" s="3">
        <f>IF(COUNTIF('Internal Trades'!$A$3:$A$20,A16)&gt;1,"Duplicate Internal",IF(COUNTIF('Broker Trades'!$A$3:$A$20,A16)&gt;1,"Duplicate Broker",IF(COUNTIF('Internal Trades'!$A$3:$A$20,A16)=0,"Missing Internally",IF(COUNTIF('Broker Trades'!$A$3:$A$20,A16)=0,"Missing at Broker",IF(D16&lt;&gt;G16,"Quantity Mismatch",IF(ABS(E16-H16)&gt;0.01,"Price Mismatch","Matched"))))))</f>
        <v/>
      </c>
      <c r="J16" s="6">
        <f>IF(OR(D16="",G16=""),"",D16-G16)</f>
        <v/>
      </c>
      <c r="K16" s="7">
        <f>IF(OR(E16="",H16=""),"",ROUND(E16-H16,2))</f>
        <v/>
      </c>
      <c r="L16" s="3">
        <f>IF(I16="Matched","No action - retain evidence",IF(I16="Missing at Broker","Contact broker and confirm trade",IF(I16="Missing Internally","Investigate missing internal record",IF(I16="Quantity Mismatch","Verify executed quantity",IF(I16="Price Mismatch","Verify execution price",IF(OR(I16="Duplicate Broker",I16="Duplicate Internal"),"Investigate duplicate record","Investigate break"))))))</f>
        <v/>
      </c>
    </row>
    <row r="17">
      <c r="A17" s="6" t="inlineStr">
        <is>
          <t>T1015</t>
        </is>
      </c>
      <c r="B17" s="6">
        <f>IFERROR(XLOOKUP(A17,'Internal Trades'!$A$3:$A$20,'Internal Trades'!$B$3:$B$20),"")</f>
        <v/>
      </c>
      <c r="C17" s="6">
        <f>IFERROR(XLOOKUP(A17,'Internal Trades'!$A$3:$A$20,'Internal Trades'!$D$3:$D$20),IFERROR(XLOOKUP(A17,'Broker Trades'!$A$3:$A$20,'Broker Trades'!$D$3:$D$20),""))</f>
        <v/>
      </c>
      <c r="D17" s="6">
        <f>IFERROR(XLOOKUP(A17,'Internal Trades'!$A$3:$A$20,'Internal Trades'!$F$3:$F$20),"")</f>
        <v/>
      </c>
      <c r="E17" s="7">
        <f>IFERROR(XLOOKUP(A17,'Internal Trades'!$A$3:$A$20,'Internal Trades'!$G$3:$G$20),"")</f>
        <v/>
      </c>
      <c r="F17" s="6">
        <f>IFERROR(XLOOKUP(A17,'Broker Trades'!$A$3:$A$20,'Broker Trades'!$B$3:$B$20),"")</f>
        <v/>
      </c>
      <c r="G17" s="6">
        <f>IFERROR(XLOOKUP(A17,'Broker Trades'!$A$3:$A$20,'Broker Trades'!$F$3:$F$20),"")</f>
        <v/>
      </c>
      <c r="H17" s="7">
        <f>IFERROR(XLOOKUP(A17,'Broker Trades'!$A$3:$A$20,'Broker Trades'!$G$3:$G$20),"")</f>
        <v/>
      </c>
      <c r="I17" s="3">
        <f>IF(COUNTIF('Internal Trades'!$A$3:$A$20,A17)&gt;1,"Duplicate Internal",IF(COUNTIF('Broker Trades'!$A$3:$A$20,A17)&gt;1,"Duplicate Broker",IF(COUNTIF('Internal Trades'!$A$3:$A$20,A17)=0,"Missing Internally",IF(COUNTIF('Broker Trades'!$A$3:$A$20,A17)=0,"Missing at Broker",IF(D17&lt;&gt;G17,"Quantity Mismatch",IF(ABS(E17-H17)&gt;0.01,"Price Mismatch","Matched"))))))</f>
        <v/>
      </c>
      <c r="J17" s="6">
        <f>IF(OR(D17="",G17=""),"",D17-G17)</f>
        <v/>
      </c>
      <c r="K17" s="7">
        <f>IF(OR(E17="",H17=""),"",ROUND(E17-H17,2))</f>
        <v/>
      </c>
      <c r="L17" s="3">
        <f>IF(I17="Matched","No action - retain evidence",IF(I17="Missing at Broker","Contact broker and confirm trade",IF(I17="Missing Internally","Investigate missing internal record",IF(I17="Quantity Mismatch","Verify executed quantity",IF(I17="Price Mismatch","Verify execution price",IF(OR(I17="Duplicate Broker",I17="Duplicate Internal"),"Investigate duplicate record","Investigate break"))))))</f>
        <v/>
      </c>
    </row>
    <row r="18">
      <c r="A18" s="6" t="inlineStr">
        <is>
          <t>T1016</t>
        </is>
      </c>
      <c r="B18" s="6">
        <f>IFERROR(XLOOKUP(A18,'Internal Trades'!$A$3:$A$20,'Internal Trades'!$B$3:$B$20),"")</f>
        <v/>
      </c>
      <c r="C18" s="6">
        <f>IFERROR(XLOOKUP(A18,'Internal Trades'!$A$3:$A$20,'Internal Trades'!$D$3:$D$20),IFERROR(XLOOKUP(A18,'Broker Trades'!$A$3:$A$20,'Broker Trades'!$D$3:$D$20),""))</f>
        <v/>
      </c>
      <c r="D18" s="6">
        <f>IFERROR(XLOOKUP(A18,'Internal Trades'!$A$3:$A$20,'Internal Trades'!$F$3:$F$20),"")</f>
        <v/>
      </c>
      <c r="E18" s="7">
        <f>IFERROR(XLOOKUP(A18,'Internal Trades'!$A$3:$A$20,'Internal Trades'!$G$3:$G$20),"")</f>
        <v/>
      </c>
      <c r="F18" s="6">
        <f>IFERROR(XLOOKUP(A18,'Broker Trades'!$A$3:$A$20,'Broker Trades'!$B$3:$B$20),"")</f>
        <v/>
      </c>
      <c r="G18" s="6">
        <f>IFERROR(XLOOKUP(A18,'Broker Trades'!$A$3:$A$20,'Broker Trades'!$F$3:$F$20),"")</f>
        <v/>
      </c>
      <c r="H18" s="7">
        <f>IFERROR(XLOOKUP(A18,'Broker Trades'!$A$3:$A$20,'Broker Trades'!$G$3:$G$20),"")</f>
        <v/>
      </c>
      <c r="I18" s="3">
        <f>IF(COUNTIF('Internal Trades'!$A$3:$A$20,A18)&gt;1,"Duplicate Internal",IF(COUNTIF('Broker Trades'!$A$3:$A$20,A18)&gt;1,"Duplicate Broker",IF(COUNTIF('Internal Trades'!$A$3:$A$20,A18)=0,"Missing Internally",IF(COUNTIF('Broker Trades'!$A$3:$A$20,A18)=0,"Missing at Broker",IF(D18&lt;&gt;G18,"Quantity Mismatch",IF(ABS(E18-H18)&gt;0.01,"Price Mismatch","Matched"))))))</f>
        <v/>
      </c>
      <c r="J18" s="6">
        <f>IF(OR(D18="",G18=""),"",D18-G18)</f>
        <v/>
      </c>
      <c r="K18" s="7">
        <f>IF(OR(E18="",H18=""),"",ROUND(E18-H18,2))</f>
        <v/>
      </c>
      <c r="L18" s="3">
        <f>IF(I18="Matched","No action - retain evidence",IF(I18="Missing at Broker","Contact broker and confirm trade",IF(I18="Missing Internally","Investigate missing internal record",IF(I18="Quantity Mismatch","Verify executed quantity",IF(I18="Price Mismatch","Verify execution price",IF(OR(I18="Duplicate Broker",I18="Duplicate Internal"),"Investigate duplicate record","Investigate break"))))))</f>
        <v/>
      </c>
    </row>
    <row r="19">
      <c r="A19" s="6" t="inlineStr">
        <is>
          <t>T1017</t>
        </is>
      </c>
      <c r="B19" s="6">
        <f>IFERROR(XLOOKUP(A19,'Internal Trades'!$A$3:$A$20,'Internal Trades'!$B$3:$B$20),"")</f>
        <v/>
      </c>
      <c r="C19" s="6">
        <f>IFERROR(XLOOKUP(A19,'Internal Trades'!$A$3:$A$20,'Internal Trades'!$D$3:$D$20),IFERROR(XLOOKUP(A19,'Broker Trades'!$A$3:$A$20,'Broker Trades'!$D$3:$D$20),""))</f>
        <v/>
      </c>
      <c r="D19" s="6">
        <f>IFERROR(XLOOKUP(A19,'Internal Trades'!$A$3:$A$20,'Internal Trades'!$F$3:$F$20),"")</f>
        <v/>
      </c>
      <c r="E19" s="7">
        <f>IFERROR(XLOOKUP(A19,'Internal Trades'!$A$3:$A$20,'Internal Trades'!$G$3:$G$20),"")</f>
        <v/>
      </c>
      <c r="F19" s="6">
        <f>IFERROR(XLOOKUP(A19,'Broker Trades'!$A$3:$A$20,'Broker Trades'!$B$3:$B$20),"")</f>
        <v/>
      </c>
      <c r="G19" s="6">
        <f>IFERROR(XLOOKUP(A19,'Broker Trades'!$A$3:$A$20,'Broker Trades'!$F$3:$F$20),"")</f>
        <v/>
      </c>
      <c r="H19" s="7">
        <f>IFERROR(XLOOKUP(A19,'Broker Trades'!$A$3:$A$20,'Broker Trades'!$G$3:$G$20),"")</f>
        <v/>
      </c>
      <c r="I19" s="3">
        <f>IF(COUNTIF('Internal Trades'!$A$3:$A$20,A19)&gt;1,"Duplicate Internal",IF(COUNTIF('Broker Trades'!$A$3:$A$20,A19)&gt;1,"Duplicate Broker",IF(COUNTIF('Internal Trades'!$A$3:$A$20,A19)=0,"Missing Internally",IF(COUNTIF('Broker Trades'!$A$3:$A$20,A19)=0,"Missing at Broker",IF(D19&lt;&gt;G19,"Quantity Mismatch",IF(ABS(E19-H19)&gt;0.01,"Price Mismatch","Matched"))))))</f>
        <v/>
      </c>
      <c r="J19" s="6">
        <f>IF(OR(D19="",G19=""),"",D19-G19)</f>
        <v/>
      </c>
      <c r="K19" s="7">
        <f>IF(OR(E19="",H19=""),"",ROUND(E19-H19,2))</f>
        <v/>
      </c>
      <c r="L19" s="3">
        <f>IF(I19="Matched","No action - retain evidence",IF(I19="Missing at Broker","Contact broker and confirm trade",IF(I19="Missing Internally","Investigate missing internal record",IF(I19="Quantity Mismatch","Verify executed quantity",IF(I19="Price Mismatch","Verify execution price",IF(OR(I19="Duplicate Broker",I19="Duplicate Internal"),"Investigate duplicate record","Investigate break"))))))</f>
        <v/>
      </c>
    </row>
    <row r="20">
      <c r="A20" s="6" t="inlineStr">
        <is>
          <t>T1018</t>
        </is>
      </c>
      <c r="B20" s="6">
        <f>IFERROR(XLOOKUP(A20,'Internal Trades'!$A$3:$A$20,'Internal Trades'!$B$3:$B$20),"")</f>
        <v/>
      </c>
      <c r="C20" s="6">
        <f>IFERROR(XLOOKUP(A20,'Internal Trades'!$A$3:$A$20,'Internal Trades'!$D$3:$D$20),IFERROR(XLOOKUP(A20,'Broker Trades'!$A$3:$A$20,'Broker Trades'!$D$3:$D$20),""))</f>
        <v/>
      </c>
      <c r="D20" s="6">
        <f>IFERROR(XLOOKUP(A20,'Internal Trades'!$A$3:$A$20,'Internal Trades'!$F$3:$F$20),"")</f>
        <v/>
      </c>
      <c r="E20" s="7">
        <f>IFERROR(XLOOKUP(A20,'Internal Trades'!$A$3:$A$20,'Internal Trades'!$G$3:$G$20),"")</f>
        <v/>
      </c>
      <c r="F20" s="6">
        <f>IFERROR(XLOOKUP(A20,'Broker Trades'!$A$3:$A$20,'Broker Trades'!$B$3:$B$20),"")</f>
        <v/>
      </c>
      <c r="G20" s="6">
        <f>IFERROR(XLOOKUP(A20,'Broker Trades'!$A$3:$A$20,'Broker Trades'!$F$3:$F$20),"")</f>
        <v/>
      </c>
      <c r="H20" s="7">
        <f>IFERROR(XLOOKUP(A20,'Broker Trades'!$A$3:$A$20,'Broker Trades'!$G$3:$G$20),"")</f>
        <v/>
      </c>
      <c r="I20" s="3">
        <f>IF(COUNTIF('Internal Trades'!$A$3:$A$20,A20)&gt;1,"Duplicate Internal",IF(COUNTIF('Broker Trades'!$A$3:$A$20,A20)&gt;1,"Duplicate Broker",IF(COUNTIF('Internal Trades'!$A$3:$A$20,A20)=0,"Missing Internally",IF(COUNTIF('Broker Trades'!$A$3:$A$20,A20)=0,"Missing at Broker",IF(D20&lt;&gt;G20,"Quantity Mismatch",IF(ABS(E20-H20)&gt;0.01,"Price Mismatch","Matched"))))))</f>
        <v/>
      </c>
      <c r="J20" s="6">
        <f>IF(OR(D20="",G20=""),"",D20-G20)</f>
        <v/>
      </c>
      <c r="K20" s="7">
        <f>IF(OR(E20="",H20=""),"",ROUND(E20-H20,2))</f>
        <v/>
      </c>
      <c r="L20" s="3">
        <f>IF(I20="Matched","No action - retain evidence",IF(I20="Missing at Broker","Contact broker and confirm trade",IF(I20="Missing Internally","Investigate missing internal record",IF(I20="Quantity Mismatch","Verify executed quantity",IF(I20="Price Mismatch","Verify execution price",IF(OR(I20="Duplicate Broker",I20="Duplicate Internal"),"Investigate duplicate record","Investigate break"))))))</f>
        <v/>
      </c>
    </row>
    <row r="21">
      <c r="A21" s="6" t="inlineStr">
        <is>
          <t>T1019</t>
        </is>
      </c>
      <c r="B21" s="6">
        <f>IFERROR(XLOOKUP(A21,'Internal Trades'!$A$3:$A$20,'Internal Trades'!$B$3:$B$20),"")</f>
        <v/>
      </c>
      <c r="C21" s="6">
        <f>IFERROR(XLOOKUP(A21,'Internal Trades'!$A$3:$A$20,'Internal Trades'!$D$3:$D$20),IFERROR(XLOOKUP(A21,'Broker Trades'!$A$3:$A$20,'Broker Trades'!$D$3:$D$20),""))</f>
        <v/>
      </c>
      <c r="D21" s="6">
        <f>IFERROR(XLOOKUP(A21,'Internal Trades'!$A$3:$A$20,'Internal Trades'!$F$3:$F$20),"")</f>
        <v/>
      </c>
      <c r="E21" s="7">
        <f>IFERROR(XLOOKUP(A21,'Internal Trades'!$A$3:$A$20,'Internal Trades'!$G$3:$G$20),"")</f>
        <v/>
      </c>
      <c r="F21" s="6">
        <f>IFERROR(XLOOKUP(A21,'Broker Trades'!$A$3:$A$20,'Broker Trades'!$B$3:$B$20),"")</f>
        <v/>
      </c>
      <c r="G21" s="6">
        <f>IFERROR(XLOOKUP(A21,'Broker Trades'!$A$3:$A$20,'Broker Trades'!$F$3:$F$20),"")</f>
        <v/>
      </c>
      <c r="H21" s="7">
        <f>IFERROR(XLOOKUP(A21,'Broker Trades'!$A$3:$A$20,'Broker Trades'!$G$3:$G$20),"")</f>
        <v/>
      </c>
      <c r="I21" s="3">
        <f>IF(COUNTIF('Internal Trades'!$A$3:$A$20,A21)&gt;1,"Duplicate Internal",IF(COUNTIF('Broker Trades'!$A$3:$A$20,A21)&gt;1,"Duplicate Broker",IF(COUNTIF('Internal Trades'!$A$3:$A$20,A21)=0,"Missing Internally",IF(COUNTIF('Broker Trades'!$A$3:$A$20,A21)=0,"Missing at Broker",IF(D21&lt;&gt;G21,"Quantity Mismatch",IF(ABS(E21-H21)&gt;0.01,"Price Mismatch","Matched"))))))</f>
        <v/>
      </c>
      <c r="J21" s="6">
        <f>IF(OR(D21="",G21=""),"",D21-G21)</f>
        <v/>
      </c>
      <c r="K21" s="7">
        <f>IF(OR(E21="",H21=""),"",ROUND(E21-H21,2))</f>
        <v/>
      </c>
      <c r="L21" s="3">
        <f>IF(I21="Matched","No action - retain evidence",IF(I21="Missing at Broker","Contact broker and confirm trade",IF(I21="Missing Internally","Investigate missing internal record",IF(I21="Quantity Mismatch","Verify executed quantity",IF(I21="Price Mismatch","Verify execution price",IF(OR(I21="Duplicate Broker",I21="Duplicate Internal"),"Investigate duplicate record","Investigate break"))))))</f>
        <v/>
      </c>
    </row>
  </sheetData>
  <autoFilter ref="A2:L21"/>
  <mergeCells count="1">
    <mergeCell ref="A1:L1"/>
  </mergeCells>
  <conditionalFormatting sqref="I3:I21">
    <cfRule type="expression" priority="1" dxfId="0">
      <formula>I3="Matched"</formula>
    </cfRule>
    <cfRule type="expression" priority="2" dxfId="1">
      <formula>I3&lt;&gt;"Matched"</formula>
    </cfRule>
  </conditionalFormatting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5" customWidth="1" min="3" max="3"/>
    <col width="45" customWidth="1" min="4" max="4"/>
    <col width="18" customWidth="1" min="5" max="5"/>
  </cols>
  <sheetData>
    <row r="1" ht="30" customHeight="1">
      <c r="A1" s="1" t="inlineStr">
        <is>
          <t>BREAK SUMMARY &amp; ACTION TRACKER</t>
        </is>
      </c>
    </row>
    <row r="2" ht="28" customHeight="1">
      <c r="A2" s="4" t="inlineStr">
        <is>
          <t>Break Type</t>
        </is>
      </c>
      <c r="B2" s="4" t="inlineStr">
        <is>
          <t>Count</t>
        </is>
      </c>
      <c r="C2" s="4" t="inlineStr">
        <is>
          <t>What it means</t>
        </is>
      </c>
      <c r="D2" s="4" t="inlineStr">
        <is>
          <t>Recommended next action</t>
        </is>
      </c>
      <c r="E2" s="4" t="inlineStr">
        <is>
          <t>Owner / status</t>
        </is>
      </c>
    </row>
    <row r="3">
      <c r="A3" s="3" t="inlineStr">
        <is>
          <t>Matched</t>
        </is>
      </c>
      <c r="B3" s="3">
        <f>COUNTIF(Reconciliation!$I$3:$I$21,A3)</f>
        <v/>
      </c>
      <c r="C3" s="3" t="inlineStr">
        <is>
          <t>Both systems agree</t>
        </is>
      </c>
      <c r="D3" s="3" t="inlineStr">
        <is>
          <t>Retain evidence and close</t>
        </is>
      </c>
      <c r="E3" s="3" t="inlineStr">
        <is>
          <t>Not started</t>
        </is>
      </c>
    </row>
    <row r="4">
      <c r="A4" s="3" t="inlineStr">
        <is>
          <t>Missing at Broker</t>
        </is>
      </c>
      <c r="B4" s="3">
        <f>COUNTIF(Reconciliation!$I$3:$I$21,A4)</f>
        <v/>
      </c>
      <c r="C4" s="3" t="inlineStr">
        <is>
          <t>Internal has trade; broker does not</t>
        </is>
      </c>
      <c r="D4" s="3" t="inlineStr">
        <is>
          <t>Contact broker and confirm trade</t>
        </is>
      </c>
      <c r="E4" s="3" t="inlineStr">
        <is>
          <t>Not started</t>
        </is>
      </c>
    </row>
    <row r="5">
      <c r="A5" s="3" t="inlineStr">
        <is>
          <t>Missing Internally</t>
        </is>
      </c>
      <c r="B5" s="3">
        <f>COUNTIF(Reconciliation!$I$3:$I$21,A5)</f>
        <v/>
      </c>
      <c r="C5" s="3" t="inlineStr">
        <is>
          <t>Broker has trade; internal does not</t>
        </is>
      </c>
      <c r="D5" s="3" t="inlineStr">
        <is>
          <t>Investigate missing internal record</t>
        </is>
      </c>
      <c r="E5" s="3" t="inlineStr">
        <is>
          <t>Not started</t>
        </is>
      </c>
    </row>
    <row r="6">
      <c r="A6" s="3" t="inlineStr">
        <is>
          <t>Quantity Mismatch</t>
        </is>
      </c>
      <c r="B6" s="3">
        <f>COUNTIF(Reconciliation!$I$3:$I$21,A6)</f>
        <v/>
      </c>
      <c r="C6" s="3" t="inlineStr">
        <is>
          <t>Quantity differs</t>
        </is>
      </c>
      <c r="D6" s="3" t="inlineStr">
        <is>
          <t>Verify executed quantity and amendments</t>
        </is>
      </c>
      <c r="E6" s="3" t="inlineStr">
        <is>
          <t>Not started</t>
        </is>
      </c>
    </row>
    <row r="7">
      <c r="A7" s="3" t="inlineStr">
        <is>
          <t>Price Mismatch</t>
        </is>
      </c>
      <c r="B7" s="3">
        <f>COUNTIF(Reconciliation!$I$3:$I$21,A7)</f>
        <v/>
      </c>
      <c r="C7" s="3" t="inlineStr">
        <is>
          <t>Price differs</t>
        </is>
      </c>
      <c r="D7" s="3" t="inlineStr">
        <is>
          <t>Check execution price and tolerance</t>
        </is>
      </c>
      <c r="E7" s="3" t="inlineStr">
        <is>
          <t>Not started</t>
        </is>
      </c>
    </row>
    <row r="8">
      <c r="A8" s="3" t="inlineStr">
        <is>
          <t>Duplicate Broker</t>
        </is>
      </c>
      <c r="B8" s="3">
        <f>COUNTIF(Reconciliation!$I$3:$I$21,A8)</f>
        <v/>
      </c>
      <c r="C8" s="3" t="inlineStr">
        <is>
          <t>Broker source repeats Trade ID</t>
        </is>
      </c>
      <c r="D8" s="3" t="inlineStr">
        <is>
          <t>Investigate duplicate before correction</t>
        </is>
      </c>
      <c r="E8" s="3" t="inlineStr">
        <is>
          <t>Not started</t>
        </is>
      </c>
    </row>
    <row r="9">
      <c r="A9" s="3" t="inlineStr">
        <is>
          <t>Duplicate Internal</t>
        </is>
      </c>
      <c r="B9" s="3">
        <f>COUNTIF(Reconciliation!$I$3:$I$21,A9)</f>
        <v/>
      </c>
      <c r="C9" s="3" t="inlineStr">
        <is>
          <t>Internal source repeats Trade ID</t>
        </is>
      </c>
      <c r="D9" s="3" t="inlineStr">
        <is>
          <t>Investigate internal duplicate</t>
        </is>
      </c>
      <c r="E9" s="3" t="inlineStr">
        <is>
          <t>Not started</t>
        </is>
      </c>
    </row>
    <row r="10"/>
    <row r="11"/>
    <row r="12">
      <c r="A12" t="inlineStr">
        <is>
          <t>Total records</t>
        </is>
      </c>
      <c r="B12">
        <f>COUNTA(Reconciliation!A3:A21)</f>
        <v/>
      </c>
    </row>
    <row r="13">
      <c r="A13" t="inlineStr">
        <is>
          <t>Open breaks</t>
        </is>
      </c>
      <c r="B13">
        <f>SUM(B4:B9)</f>
        <v/>
      </c>
    </row>
    <row r="14">
      <c r="A14" t="inlineStr">
        <is>
          <t>Match rate</t>
        </is>
      </c>
      <c r="B14" s="8">
        <f>IFERROR(B3/B12,0)</f>
        <v/>
      </c>
    </row>
  </sheetData>
  <mergeCells count="1">
    <mergeCell ref="A1:E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36" customWidth="1" min="3" max="3"/>
    <col width="48" customWidth="1" min="4" max="4"/>
  </cols>
  <sheetData>
    <row r="1" ht="30" customHeight="1">
      <c r="A1" s="1" t="inlineStr">
        <is>
          <t>PRACTICE LAB — TRY THESE YOURSELF</t>
        </is>
      </c>
    </row>
    <row r="2" ht="28" customHeight="1">
      <c r="A2" s="4" t="inlineStr">
        <is>
          <t>Level</t>
        </is>
      </c>
      <c r="B2" s="4" t="inlineStr">
        <is>
          <t>Task</t>
        </is>
      </c>
      <c r="C2" s="4" t="inlineStr">
        <is>
          <t>Your answer / notes</t>
        </is>
      </c>
      <c r="D2" s="4" t="inlineStr">
        <is>
          <t>Check after trying</t>
        </is>
      </c>
    </row>
    <row r="3" ht="40" customHeight="1">
      <c r="A3" s="3" t="inlineStr">
        <is>
          <t>1</t>
        </is>
      </c>
      <c r="B3" s="3" t="inlineStr">
        <is>
          <t>Explain trade reconciliation in your own words.</t>
        </is>
      </c>
      <c r="C3" s="3" t="inlineStr"/>
      <c r="D3" s="3" t="inlineStr">
        <is>
          <t>Compare two sources and investigate differences.</t>
        </is>
      </c>
    </row>
    <row r="4" ht="40" customHeight="1">
      <c r="A4" s="3" t="inlineStr">
        <is>
          <t>1</t>
        </is>
      </c>
      <c r="B4" s="3" t="inlineStr">
        <is>
          <t>What is a Trade ID and why is it important?</t>
        </is>
      </c>
      <c r="C4" s="3" t="inlineStr"/>
      <c r="D4" s="3" t="inlineStr">
        <is>
          <t>It identifies a trade so records can be matched.</t>
        </is>
      </c>
    </row>
    <row r="5" ht="40" customHeight="1">
      <c r="A5" s="3" t="inlineStr">
        <is>
          <t>2</t>
        </is>
      </c>
      <c r="B5" s="3" t="inlineStr">
        <is>
          <t>Use XLOOKUP to return the broker quantity for T1004.</t>
        </is>
      </c>
      <c r="C5" s="3" t="inlineStr"/>
      <c r="D5" s="3" t="inlineStr">
        <is>
          <t>Should return 20.</t>
        </is>
      </c>
    </row>
    <row r="6" ht="40" customHeight="1">
      <c r="A6" s="3" t="inlineStr">
        <is>
          <t>2</t>
        </is>
      </c>
      <c r="B6" s="3" t="inlineStr">
        <is>
          <t>Write an IF formula to flag different quantities.</t>
        </is>
      </c>
      <c r="C6" s="3" t="inlineStr"/>
      <c r="D6" s="3" t="inlineStr">
        <is>
          <t>Example: =IF(D3&lt;&gt;G3,"Mismatch","Match")</t>
        </is>
      </c>
    </row>
    <row r="7" ht="40" customHeight="1">
      <c r="A7" s="3" t="inlineStr">
        <is>
          <t>2</t>
        </is>
      </c>
      <c r="B7" s="3" t="inlineStr">
        <is>
          <t>Why use IFERROR around XLOOKUP?</t>
        </is>
      </c>
      <c r="C7" s="3" t="inlineStr"/>
      <c r="D7" s="3" t="inlineStr">
        <is>
          <t>To handle a missing lookup result.</t>
        </is>
      </c>
    </row>
    <row r="8" ht="40" customHeight="1">
      <c r="A8" s="3" t="inlineStr">
        <is>
          <t>3</t>
        </is>
      </c>
      <c r="B8" s="3" t="inlineStr">
        <is>
          <t>Find the break for T1013 and suggest an action.</t>
        </is>
      </c>
      <c r="C8" s="3" t="inlineStr"/>
      <c r="D8" s="3" t="inlineStr">
        <is>
          <t>Missing at Broker; contact broker to confirm.</t>
        </is>
      </c>
    </row>
    <row r="9" ht="40" customHeight="1">
      <c r="A9" s="3" t="inlineStr">
        <is>
          <t>3</t>
        </is>
      </c>
      <c r="B9" s="3" t="inlineStr">
        <is>
          <t>Find the issue with T1014.</t>
        </is>
      </c>
      <c r="C9" s="3" t="inlineStr"/>
      <c r="D9" s="3" t="inlineStr">
        <is>
          <t>Duplicate Broker; investigate repeated record.</t>
        </is>
      </c>
    </row>
    <row r="10" ht="40" customHeight="1">
      <c r="A10" s="3" t="inlineStr">
        <is>
          <t>3</t>
        </is>
      </c>
      <c r="B10" s="3" t="inlineStr">
        <is>
          <t>Why might a tiny price difference need a tolerance?</t>
        </is>
      </c>
      <c r="C10" s="3" t="inlineStr"/>
      <c r="D10" s="3" t="inlineStr">
        <is>
          <t>Rounding or precision; follow approved business rules.</t>
        </is>
      </c>
    </row>
    <row r="11" ht="40" customHeight="1">
      <c r="A11" s="3" t="inlineStr">
        <is>
          <t>4</t>
        </is>
      </c>
      <c r="B11" s="3" t="inlineStr">
        <is>
          <t>Create a PivotTable with Break Type in Rows and Trade ID counted in Values.</t>
        </is>
      </c>
      <c r="C11" s="3" t="inlineStr"/>
      <c r="D11" s="3" t="inlineStr">
        <is>
          <t>Counts each classification.</t>
        </is>
      </c>
    </row>
    <row r="12" ht="40" customHeight="1">
      <c r="A12" s="3" t="inlineStr">
        <is>
          <t>4</t>
        </is>
      </c>
      <c r="B12" s="3" t="inlineStr">
        <is>
          <t>Apply conditional formatting to Matched and break records.</t>
        </is>
      </c>
      <c r="C12" s="3" t="inlineStr"/>
      <c r="D12" s="3" t="inlineStr">
        <is>
          <t>Use rules based on cell contents.</t>
        </is>
      </c>
    </row>
    <row r="13" ht="40" customHeight="1">
      <c r="A13" s="3" t="inlineStr">
        <is>
          <t>5</t>
        </is>
      </c>
      <c r="B13" s="3" t="inlineStr">
        <is>
          <t>Give a 30-second explanation of this project.</t>
        </is>
      </c>
      <c r="C13" s="3" t="inlineStr"/>
      <c r="D13" s="3" t="inlineStr">
        <is>
          <t>Mention matching, classification, summary, next actions.</t>
        </is>
      </c>
    </row>
    <row r="14" ht="40" customHeight="1">
      <c r="A14" s="3" t="inlineStr">
        <is>
          <t>5</t>
        </is>
      </c>
      <c r="B14" s="3" t="inlineStr">
        <is>
          <t>What should happen before a break is closed?</t>
        </is>
      </c>
      <c r="C14" s="3" t="inlineStr"/>
      <c r="D14" s="3" t="inlineStr">
        <is>
          <t>Verify evidence, document resolution, follow controls.</t>
        </is>
      </c>
    </row>
  </sheetData>
  <mergeCells count="1">
    <mergeCell ref="A1:D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2026-10-26T05:37:56Z</dcterms:created>
  <dcterms:modified xmlns:dcterms="http://purl.org/dc/terms/" xmlns:xsi="http://www.w3.org/2001/XMLSchema-instance" xsi:type="dcterms:W3CDTF">2026-10-26T05:37:56Z</dcterms:modified>
</cp:coreProperties>
</file>